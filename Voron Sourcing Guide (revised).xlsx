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VORON 2.4" sheetId="2" state="visible" r:id="rId2"/>
    <sheet xmlns:r="http://schemas.openxmlformats.org/officeDocument/2006/relationships" name="VORON Trident" sheetId="3" state="visible" r:id="rId3"/>
    <sheet xmlns:r="http://schemas.openxmlformats.org/officeDocument/2006/relationships" name="VORON 0.2" sheetId="4" state="visible" r:id="rId4"/>
    <sheet xmlns:r="http://schemas.openxmlformats.org/officeDocument/2006/relationships" name="VORON Switchwire" sheetId="5" state="visible" r:id="rId5"/>
    <sheet xmlns:r="http://schemas.openxmlformats.org/officeDocument/2006/relationships" name="Stealthburner" sheetId="6" state="visible" r:id="rId6"/>
    <sheet xmlns:r="http://schemas.openxmlformats.org/officeDocument/2006/relationships" name="Optional Parts" sheetId="7" state="visible" r:id="rId7"/>
    <sheet xmlns:r="http://schemas.openxmlformats.org/officeDocument/2006/relationships" name="Tools" sheetId="8" state="visible" r:id="rId8"/>
    <sheet xmlns:r="http://schemas.openxmlformats.org/officeDocument/2006/relationships" name="Afterburner" sheetId="9" state="visible" r:id="rId9"/>
    <sheet xmlns:r="http://schemas.openxmlformats.org/officeDocument/2006/relationships" name="VORON M4" sheetId="10" state="visible" r:id="rId10"/>
    <sheet xmlns:r="http://schemas.openxmlformats.org/officeDocument/2006/relationships" name="Mobius 3.1" sheetId="11" state="visible" r:id="rId11"/>
    <sheet xmlns:r="http://schemas.openxmlformats.org/officeDocument/2006/relationships" name="JetPack" sheetId="12" state="visible" r:id="rId12"/>
    <sheet xmlns:r="http://schemas.openxmlformats.org/officeDocument/2006/relationships" name="VORON 0" sheetId="13" state="visible" r:id="rId13"/>
    <sheet xmlns:r="http://schemas.openxmlformats.org/officeDocument/2006/relationships" name="VORON 0.1" sheetId="14" state="visible" r:id="rId14"/>
    <sheet xmlns:r="http://schemas.openxmlformats.org/officeDocument/2006/relationships" name="VORON 1.8" sheetId="15" state="visible" r:id="rId15"/>
    <sheet xmlns:r="http://schemas.openxmlformats.org/officeDocument/2006/relationships" name="VORON 1.6.2" sheetId="16" state="visible" r:id="rId16"/>
    <sheet xmlns:r="http://schemas.openxmlformats.org/officeDocument/2006/relationships" name="VORON 2.2" sheetId="17" state="visible" r:id="rId1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1"/>
    </font>
    <font>
      <b val="1"/>
      <color rgb="FF1155CC"/>
      <u val="single"/>
    </font>
    <font>
      <color rgb="FF1155CC"/>
      <u val="single"/>
    </font>
    <font>
      <color rgb="FF9B2C24"/>
    </font>
    <font/>
    <font>
      <b val="1"/>
    </font>
    <font>
      <b val="1"/>
      <sz val="14"/>
    </font>
  </fonts>
  <fills count="15">
    <fill>
      <patternFill/>
    </fill>
    <fill>
      <patternFill patternType="gray125"/>
    </fill>
    <fill>
      <patternFill patternType="solid">
        <fgColor rgb="FFD9D9D9"/>
      </patternFill>
    </fill>
    <fill>
      <patternFill patternType="solid">
        <fgColor rgb="FFF9CB9C"/>
      </patternFill>
    </fill>
    <fill>
      <patternFill patternType="solid">
        <fgColor rgb="FFC9DAF8"/>
      </patternFill>
    </fill>
    <fill>
      <patternFill patternType="solid">
        <fgColor rgb="FFCCCCCC"/>
      </patternFill>
    </fill>
    <fill>
      <patternFill patternType="solid">
        <fgColor rgb="FFFFE599"/>
      </patternFill>
    </fill>
    <fill>
      <patternFill patternType="solid">
        <fgColor rgb="FFD9EAD3"/>
      </patternFill>
    </fill>
    <fill>
      <patternFill patternType="solid">
        <fgColor rgb="FFEAD1DC"/>
      </patternFill>
    </fill>
    <fill>
      <patternFill patternType="solid">
        <fgColor rgb="FFFFD966"/>
      </patternFill>
    </fill>
    <fill>
      <patternFill patternType="solid">
        <fgColor rgb="FFA4C2F4"/>
      </patternFill>
    </fill>
    <fill>
      <patternFill patternType="solid">
        <fgColor rgb="FFE6B8AF"/>
      </patternFill>
    </fill>
    <fill>
      <patternFill patternType="solid">
        <fgColor rgb="FFB6D7A8"/>
      </patternFill>
    </fill>
    <fill>
      <patternFill patternType="solid">
        <fgColor rgb="FFEA9999"/>
      </patternFill>
    </fill>
    <fill>
      <patternFill patternType="solid">
        <fgColor rgb="FFD5A6BD"/>
      </patternFill>
    </fill>
  </fills>
  <borders count="1">
    <border>
      <left/>
      <right/>
      <top/>
      <bottom/>
      <diagonal/>
    </border>
  </borders>
  <cellStyleXfs count="1">
    <xf numFmtId="0" fontId="0" fillId="0" borderId="0"/>
  </cellStyleXfs>
  <cellXfs count="70">
    <xf numFmtId="0" fontId="0" fillId="0" borderId="0" pivotButton="0" quotePrefix="0" xfId="0"/>
    <xf numFmtId="0" fontId="7" fillId="0" borderId="0" pivotButton="0" quotePrefix="0" xfId="0"/>
    <xf numFmtId="0" fontId="6"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horizontal="right" vertical="center"/>
    </xf>
    <xf numFmtId="0" fontId="0" fillId="3" borderId="0" pivotButton="0" quotePrefix="0" xfId="0"/>
    <xf numFmtId="0" fontId="2" fillId="3" borderId="0" pivotButton="0" quotePrefix="0" xfId="0"/>
    <xf numFmtId="0" fontId="3" fillId="3" borderId="0" pivotButton="0" quotePrefix="0" xfId="0"/>
    <xf numFmtId="0" fontId="0" fillId="3" borderId="0" applyAlignment="1" pivotButton="0" quotePrefix="0" xfId="0">
      <alignment vertical="top" wrapText="1"/>
    </xf>
    <xf numFmtId="0" fontId="0" fillId="4" borderId="0" pivotButton="0" quotePrefix="0" xfId="0"/>
    <xf numFmtId="0" fontId="2" fillId="4" borderId="0" pivotButton="0" quotePrefix="0" xfId="0"/>
    <xf numFmtId="0" fontId="3" fillId="4" borderId="0" pivotButton="0" quotePrefix="0" xfId="0"/>
    <xf numFmtId="0" fontId="4" fillId="4" borderId="0" pivotButton="0" quotePrefix="0" xfId="0"/>
    <xf numFmtId="0" fontId="0" fillId="4" borderId="0" applyAlignment="1" pivotButton="0" quotePrefix="0" xfId="0">
      <alignment vertical="top" wrapText="1"/>
    </xf>
    <xf numFmtId="0" fontId="0" fillId="5" borderId="0" pivotButton="0" quotePrefix="0" xfId="0"/>
    <xf numFmtId="0" fontId="2" fillId="5" borderId="0" pivotButton="0" quotePrefix="0" xfId="0"/>
    <xf numFmtId="0" fontId="3" fillId="5" borderId="0" pivotButton="0" quotePrefix="0" xfId="0"/>
    <xf numFmtId="0" fontId="0" fillId="5" borderId="0" applyAlignment="1" pivotButton="0" quotePrefix="0" xfId="0">
      <alignment vertical="top" wrapText="1"/>
    </xf>
    <xf numFmtId="0" fontId="4" fillId="5" borderId="0" pivotButton="0" quotePrefix="0" xfId="0"/>
    <xf numFmtId="0" fontId="0" fillId="6" borderId="0" pivotButton="0" quotePrefix="0" xfId="0"/>
    <xf numFmtId="0" fontId="2" fillId="6" borderId="0" pivotButton="0" quotePrefix="0" xfId="0"/>
    <xf numFmtId="0" fontId="3" fillId="6" borderId="0" pivotButton="0" quotePrefix="0" xfId="0"/>
    <xf numFmtId="0" fontId="0" fillId="6" borderId="0" applyAlignment="1" pivotButton="0" quotePrefix="0" xfId="0">
      <alignment vertical="top" wrapText="1"/>
    </xf>
    <xf numFmtId="0" fontId="4" fillId="6" borderId="0" pivotButton="0" quotePrefix="0" xfId="0"/>
    <xf numFmtId="0" fontId="0" fillId="7" borderId="0" pivotButton="0" quotePrefix="0" xfId="0"/>
    <xf numFmtId="0" fontId="2" fillId="7" borderId="0" pivotButton="0" quotePrefix="0" xfId="0"/>
    <xf numFmtId="0" fontId="3" fillId="7" borderId="0" pivotButton="0" quotePrefix="0" xfId="0"/>
    <xf numFmtId="0" fontId="0" fillId="7" borderId="0" applyAlignment="1" pivotButton="0" quotePrefix="0" xfId="0">
      <alignment vertical="top" wrapText="1"/>
    </xf>
    <xf numFmtId="0" fontId="4" fillId="7" borderId="0" pivotButton="0" quotePrefix="0" xfId="0"/>
    <xf numFmtId="0" fontId="4" fillId="3" borderId="0" pivotButton="0" quotePrefix="0" xfId="0"/>
    <xf numFmtId="0" fontId="0" fillId="8" borderId="0" pivotButton="0" quotePrefix="0" xfId="0"/>
    <xf numFmtId="0" fontId="4" fillId="8" borderId="0" pivotButton="0" quotePrefix="0" xfId="0"/>
    <xf numFmtId="0" fontId="2" fillId="8" borderId="0" pivotButton="0" quotePrefix="0" xfId="0"/>
    <xf numFmtId="0" fontId="3" fillId="8" borderId="0" pivotButton="0" quotePrefix="0" xfId="0"/>
    <xf numFmtId="0" fontId="0" fillId="8" borderId="0" applyAlignment="1" pivotButton="0" quotePrefix="0" xfId="0">
      <alignment vertical="top" wrapText="1"/>
    </xf>
    <xf numFmtId="0" fontId="0" fillId="9" borderId="0" pivotButton="0" quotePrefix="0" xfId="0"/>
    <xf numFmtId="0" fontId="2" fillId="9" borderId="0" pivotButton="0" quotePrefix="0" xfId="0"/>
    <xf numFmtId="0" fontId="0" fillId="9" borderId="0" applyAlignment="1" pivotButton="0" quotePrefix="0" xfId="0">
      <alignment vertical="top" wrapText="1"/>
    </xf>
    <xf numFmtId="0" fontId="4" fillId="9" borderId="0" pivotButton="0" quotePrefix="0" xfId="0"/>
    <xf numFmtId="0" fontId="3" fillId="9" borderId="0" pivotButton="0" quotePrefix="0" xfId="0"/>
    <xf numFmtId="0" fontId="0" fillId="10" borderId="0" pivotButton="0" quotePrefix="0" xfId="0"/>
    <xf numFmtId="0" fontId="2" fillId="10" borderId="0" pivotButton="0" quotePrefix="0" xfId="0"/>
    <xf numFmtId="0" fontId="0" fillId="10" borderId="0" applyAlignment="1" pivotButton="0" quotePrefix="0" xfId="0">
      <alignment vertical="top" wrapText="1"/>
    </xf>
    <xf numFmtId="0" fontId="3" fillId="10" borderId="0" pivotButton="0" quotePrefix="0" xfId="0"/>
    <xf numFmtId="0" fontId="4" fillId="10" borderId="0" pivotButton="0" quotePrefix="0" xfId="0"/>
    <xf numFmtId="0" fontId="0" fillId="11" borderId="0" pivotButton="0" quotePrefix="0" xfId="0"/>
    <xf numFmtId="0" fontId="2" fillId="11" borderId="0" pivotButton="0" quotePrefix="0" xfId="0"/>
    <xf numFmtId="0" fontId="3" fillId="11" borderId="0" pivotButton="0" quotePrefix="0" xfId="0"/>
    <xf numFmtId="0" fontId="0" fillId="2" borderId="0" pivotButton="0" quotePrefix="0" xfId="0"/>
    <xf numFmtId="0" fontId="2" fillId="2" borderId="0" pivotButton="0" quotePrefix="0" xfId="0"/>
    <xf numFmtId="0" fontId="0" fillId="2" borderId="0" applyAlignment="1" pivotButton="0" quotePrefix="0" xfId="0">
      <alignment vertical="top" wrapText="1"/>
    </xf>
    <xf numFmtId="0" fontId="3" fillId="2" borderId="0" pivotButton="0" quotePrefix="0" xfId="0"/>
    <xf numFmtId="0" fontId="4" fillId="2" borderId="0" pivotButton="0" quotePrefix="0" xfId="0"/>
    <xf numFmtId="0" fontId="5" fillId="0" borderId="0" pivotButton="0" quotePrefix="0" xfId="0"/>
    <xf numFmtId="0" fontId="0" fillId="11" borderId="0" applyAlignment="1" pivotButton="0" quotePrefix="0" xfId="0">
      <alignment vertical="top" wrapText="1"/>
    </xf>
    <xf numFmtId="0" fontId="4" fillId="11" borderId="0" pivotButton="0" quotePrefix="0" xfId="0"/>
    <xf numFmtId="0" fontId="0" fillId="12" borderId="0" pivotButton="0" quotePrefix="0" xfId="0"/>
    <xf numFmtId="0" fontId="2" fillId="12" borderId="0" pivotButton="0" quotePrefix="0" xfId="0"/>
    <xf numFmtId="0" fontId="3" fillId="12" borderId="0" pivotButton="0" quotePrefix="0" xfId="0"/>
    <xf numFmtId="0" fontId="0" fillId="12" borderId="0" applyAlignment="1" pivotButton="0" quotePrefix="0" xfId="0">
      <alignment vertical="top" wrapText="1"/>
    </xf>
    <xf numFmtId="0" fontId="0" fillId="13" borderId="0" pivotButton="0" quotePrefix="0" xfId="0"/>
    <xf numFmtId="0" fontId="6" fillId="13" borderId="0" pivotButton="0" quotePrefix="0" xfId="0"/>
    <xf numFmtId="0" fontId="2" fillId="13" borderId="0" pivotButton="0" quotePrefix="0" xfId="0"/>
    <xf numFmtId="0" fontId="4" fillId="13" borderId="0" pivotButton="0" quotePrefix="0" xfId="0"/>
    <xf numFmtId="0" fontId="0" fillId="14" borderId="0" pivotButton="0" quotePrefix="0" xfId="0"/>
    <xf numFmtId="0" fontId="0" fillId="14" borderId="0" applyAlignment="1" pivotButton="0" quotePrefix="0" xfId="0">
      <alignment vertical="top" wrapText="1"/>
    </xf>
    <xf numFmtId="0" fontId="2" fillId="14" borderId="0" pivotButton="0" quotePrefix="0" xfId="0"/>
    <xf numFmtId="0" fontId="3" fillId="14" borderId="0" pivotButton="0" quotePrefix="0" xfId="0"/>
    <xf numFmtId="0" fontId="4" fillId="14" borderId="0" pivotButton="0" quotePrefix="0" xfId="0"/>
    <xf numFmtId="0" fontId="4" fillId="1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26" customWidth="1" min="1" max="1"/>
    <col width="21" customWidth="1" min="2" max="2"/>
    <col width="21" customWidth="1" min="3" max="3"/>
    <col width="21" customWidth="1" min="4" max="4"/>
    <col width="21" customWidth="1" min="5" max="5"/>
    <col width="21" customWidth="1" min="6" max="6"/>
  </cols>
  <sheetData>
    <row r="1">
      <c r="A1" s="1" t="inlineStr">
        <is>
          <t>Voron sourcing guide - revised</t>
        </is>
      </c>
    </row>
    <row r="2">
      <c r="A2" t="inlineStr"/>
    </row>
    <row r="3">
      <c r="A3" t="inlineStr">
        <is>
          <t>Rebuilt from the published guide by tools/build_xlsx.py.</t>
        </is>
      </c>
    </row>
    <row r="4">
      <c r="A4" t="inlineStr"/>
    </row>
    <row r="5">
      <c r="A5" t="inlineStr">
        <is>
          <t xml:space="preserve">  * component names are canonical, so a part reads the same on every tab</t>
        </is>
      </c>
    </row>
    <row r="6">
      <c r="A6" t="inlineStr">
        <is>
          <t xml:space="preserve">  * every live link for a component is listed, not only the ones that happened to be typed on that tab</t>
        </is>
      </c>
    </row>
    <row r="7">
      <c r="A7" t="inlineStr">
        <is>
          <t xml:space="preserve">  * links that did not resolve when checked have been removed</t>
        </is>
      </c>
    </row>
    <row r="8">
      <c r="A8" t="inlineStr">
        <is>
          <t xml:space="preserve">  * the last column of each sheet says what a row lost</t>
        </is>
      </c>
    </row>
    <row r="9">
      <c r="A9" t="inlineStr"/>
    </row>
    <row r="10">
      <c r="A10" t="inlineStr">
        <is>
          <t>A row with no vendor is a row whose every link was dead. It kept its quantity and notes so the part is not lost.</t>
        </is>
      </c>
    </row>
    <row r="11">
      <c r="A11" t="inlineStr"/>
    </row>
    <row r="12">
      <c r="A12" s="2" t="inlineStr">
        <is>
          <t>Tab</t>
        </is>
      </c>
      <c r="B12" s="2" t="inlineStr">
        <is>
          <t>Status</t>
        </is>
      </c>
      <c r="C12" s="2" t="inlineStr">
        <is>
          <t>Rows</t>
        </is>
      </c>
      <c r="D12" s="2" t="inlineStr">
        <is>
          <t>Vendor slots</t>
        </is>
      </c>
      <c r="E12" s="2" t="inlineStr">
        <is>
          <t>Rows with no live link</t>
        </is>
      </c>
      <c r="F12" s="2" t="inlineStr">
        <is>
          <t>Rows that lost links</t>
        </is>
      </c>
    </row>
    <row r="13">
      <c r="A13" t="inlineStr">
        <is>
          <t>VORON 2.4</t>
        </is>
      </c>
      <c r="B13" t="inlineStr">
        <is>
          <t>current</t>
        </is>
      </c>
      <c r="C13" t="n">
        <v>117</v>
      </c>
      <c r="D13" t="n">
        <v>7</v>
      </c>
      <c r="E13" t="n">
        <v>12</v>
      </c>
      <c r="F13" t="n">
        <v>23</v>
      </c>
    </row>
    <row r="14">
      <c r="A14" t="inlineStr">
        <is>
          <t>VORON Trident</t>
        </is>
      </c>
      <c r="B14" t="inlineStr">
        <is>
          <t>current</t>
        </is>
      </c>
      <c r="C14" t="n">
        <v>134</v>
      </c>
      <c r="D14" t="n">
        <v>11</v>
      </c>
      <c r="E14" t="n">
        <v>8</v>
      </c>
      <c r="F14" t="n">
        <v>21</v>
      </c>
    </row>
    <row r="15">
      <c r="A15" t="inlineStr">
        <is>
          <t>VORON 0.2</t>
        </is>
      </c>
      <c r="B15" t="inlineStr">
        <is>
          <t>current</t>
        </is>
      </c>
      <c r="C15" t="n">
        <v>85</v>
      </c>
      <c r="D15" t="n">
        <v>11</v>
      </c>
      <c r="E15" t="n">
        <v>13</v>
      </c>
      <c r="F15" t="n">
        <v>22</v>
      </c>
    </row>
    <row r="16">
      <c r="A16" t="inlineStr">
        <is>
          <t>VORON Switchwire</t>
        </is>
      </c>
      <c r="B16" t="inlineStr">
        <is>
          <t>current</t>
        </is>
      </c>
      <c r="C16" t="n">
        <v>91</v>
      </c>
      <c r="D16" t="n">
        <v>7</v>
      </c>
      <c r="E16" t="n">
        <v>15</v>
      </c>
      <c r="F16" t="n">
        <v>12</v>
      </c>
    </row>
    <row r="17">
      <c r="A17" t="inlineStr">
        <is>
          <t>Stealthburner</t>
        </is>
      </c>
      <c r="B17" t="inlineStr">
        <is>
          <t>current</t>
        </is>
      </c>
      <c r="C17" t="n">
        <v>29</v>
      </c>
      <c r="D17" t="n">
        <v>11</v>
      </c>
      <c r="E17" t="n">
        <v>8</v>
      </c>
      <c r="F17" t="n">
        <v>5</v>
      </c>
    </row>
    <row r="18">
      <c r="A18" t="inlineStr">
        <is>
          <t>Optional Parts</t>
        </is>
      </c>
      <c r="B18" t="inlineStr">
        <is>
          <t>current</t>
        </is>
      </c>
      <c r="C18" t="n">
        <v>54</v>
      </c>
      <c r="D18" t="n">
        <v>4</v>
      </c>
      <c r="E18" t="n">
        <v>6</v>
      </c>
      <c r="F18" t="n">
        <v>20</v>
      </c>
    </row>
    <row r="19">
      <c r="A19" t="inlineStr">
        <is>
          <t>Tools</t>
        </is>
      </c>
      <c r="B19" t="inlineStr">
        <is>
          <t>current</t>
        </is>
      </c>
      <c r="C19" t="n">
        <v>16</v>
      </c>
      <c r="D19" t="n">
        <v>2</v>
      </c>
      <c r="E19" t="n">
        <v>3</v>
      </c>
      <c r="F19" t="n">
        <v>3</v>
      </c>
    </row>
    <row r="20">
      <c r="A20" t="inlineStr">
        <is>
          <t>Afterburner</t>
        </is>
      </c>
      <c r="B20" t="inlineStr">
        <is>
          <t>legacy</t>
        </is>
      </c>
      <c r="C20" t="n">
        <v>19</v>
      </c>
      <c r="D20" t="n">
        <v>11</v>
      </c>
      <c r="E20" t="n">
        <v>2</v>
      </c>
      <c r="F20" t="n">
        <v>2</v>
      </c>
    </row>
    <row r="21">
      <c r="A21" t="inlineStr">
        <is>
          <t>VORON M4</t>
        </is>
      </c>
      <c r="B21" t="inlineStr">
        <is>
          <t>legacy</t>
        </is>
      </c>
      <c r="C21" t="n">
        <v>18</v>
      </c>
      <c r="D21" t="n">
        <v>11</v>
      </c>
      <c r="E21" t="n">
        <v>1</v>
      </c>
      <c r="F21" t="n">
        <v>5</v>
      </c>
    </row>
    <row r="22">
      <c r="A22" t="inlineStr">
        <is>
          <t>Mobius 3.1</t>
        </is>
      </c>
      <c r="B22" t="inlineStr">
        <is>
          <t>legacy</t>
        </is>
      </c>
      <c r="C22" t="n">
        <v>23</v>
      </c>
      <c r="D22" t="n">
        <v>12</v>
      </c>
      <c r="E22" t="n">
        <v>1</v>
      </c>
      <c r="F22" t="n">
        <v>6</v>
      </c>
    </row>
    <row r="23">
      <c r="A23" t="inlineStr">
        <is>
          <t>JetPack</t>
        </is>
      </c>
      <c r="B23" t="inlineStr">
        <is>
          <t>legacy</t>
        </is>
      </c>
      <c r="C23" t="n">
        <v>22</v>
      </c>
      <c r="D23" t="n">
        <v>11</v>
      </c>
      <c r="E23" t="n">
        <v>3</v>
      </c>
      <c r="F23" t="n">
        <v>7</v>
      </c>
    </row>
    <row r="24">
      <c r="A24" t="inlineStr">
        <is>
          <t>VORON 0</t>
        </is>
      </c>
      <c r="B24" t="inlineStr">
        <is>
          <t>legacy</t>
        </is>
      </c>
      <c r="C24" t="n">
        <v>83</v>
      </c>
      <c r="D24" t="n">
        <v>11</v>
      </c>
      <c r="E24" t="n">
        <v>10</v>
      </c>
      <c r="F24" t="n">
        <v>30</v>
      </c>
    </row>
    <row r="25">
      <c r="A25" t="inlineStr">
        <is>
          <t>VORON 0.1</t>
        </is>
      </c>
      <c r="B25" t="inlineStr">
        <is>
          <t>legacy</t>
        </is>
      </c>
      <c r="C25" t="n">
        <v>84</v>
      </c>
      <c r="D25" t="n">
        <v>11</v>
      </c>
      <c r="E25" t="n">
        <v>13</v>
      </c>
      <c r="F25" t="n">
        <v>22</v>
      </c>
    </row>
    <row r="26">
      <c r="A26" t="inlineStr">
        <is>
          <t>VORON 1.8</t>
        </is>
      </c>
      <c r="B26" t="inlineStr">
        <is>
          <t>legacy</t>
        </is>
      </c>
      <c r="C26" t="n">
        <v>113</v>
      </c>
      <c r="D26" t="n">
        <v>11</v>
      </c>
      <c r="E26" t="n">
        <v>10</v>
      </c>
      <c r="F26" t="n">
        <v>20</v>
      </c>
    </row>
    <row r="27">
      <c r="A27" t="inlineStr">
        <is>
          <t>VORON 1.6.2</t>
        </is>
      </c>
      <c r="B27" t="inlineStr">
        <is>
          <t>legacy</t>
        </is>
      </c>
      <c r="C27" t="n">
        <v>36</v>
      </c>
      <c r="D27" t="n">
        <v>6</v>
      </c>
      <c r="E27" t="n">
        <v>9</v>
      </c>
      <c r="F27" t="n">
        <v>12</v>
      </c>
    </row>
    <row r="28">
      <c r="A28" t="inlineStr">
        <is>
          <t>VORON 2.2</t>
        </is>
      </c>
      <c r="B28" t="inlineStr">
        <is>
          <t>legacy</t>
        </is>
      </c>
      <c r="C28" t="n">
        <v>110</v>
      </c>
      <c r="D28" t="n">
        <v>6</v>
      </c>
      <c r="E28" t="n">
        <v>13</v>
      </c>
      <c r="F28" t="n">
        <v>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9"/>
  <sheetViews>
    <sheetView workbookViewId="0">
      <pane ySplit="1" topLeftCell="A2" activePane="bottomLeft" state="frozen"/>
      <selection pane="bottomLeft" activeCell="A1" sqref="A1"/>
    </sheetView>
  </sheetViews>
  <sheetFormatPr baseColWidth="8" defaultRowHeight="15"/>
  <cols>
    <col width="19.9" customWidth="1" min="1" max="1"/>
    <col width="34.5" customWidth="1" min="2" max="2"/>
    <col width="17.1" customWidth="1" min="3" max="3"/>
    <col width="7" customWidth="1" min="4" max="4"/>
    <col width="8.5" customWidth="1" min="5" max="5"/>
    <col width="20" customWidth="1" min="6" max="6"/>
    <col width="15" customWidth="1" min="7" max="7"/>
    <col width="20" customWidth="1" min="8" max="8"/>
    <col width="15" customWidth="1" min="9" max="9"/>
    <col width="20" customWidth="1" min="10" max="10"/>
    <col width="15" customWidth="1" min="11" max="11"/>
    <col width="20" customWidth="1" min="12" max="12"/>
    <col width="15" customWidth="1" min="13" max="13"/>
    <col width="20" customWidth="1" min="14" max="14"/>
    <col width="15" customWidth="1" min="15" max="15"/>
    <col width="20" customWidth="1" min="16" max="16"/>
    <col width="20" customWidth="1" min="17" max="17"/>
    <col width="90" customWidth="1" min="18" max="18"/>
    <col width="20" customWidth="1" min="19" max="19"/>
  </cols>
  <sheetData>
    <row r="1">
      <c r="A1" s="3" t="inlineStr">
        <is>
          <t>Category</t>
        </is>
      </c>
      <c r="B1" s="3" t="inlineStr">
        <is>
          <t>Component</t>
        </is>
      </c>
      <c r="C1" s="3" t="inlineStr">
        <is>
          <t>Standard</t>
        </is>
      </c>
      <c r="D1" s="3" t="inlineStr">
        <is>
          <t>Qty</t>
        </is>
      </c>
      <c r="E1" s="3" t="inlineStr">
        <is>
          <t>Size</t>
        </is>
      </c>
      <c r="F1" s="4" t="inlineStr">
        <is>
          <t>Recommended</t>
        </is>
      </c>
      <c r="G1" s="3" t="inlineStr"/>
      <c r="H1" s="4" t="inlineStr">
        <is>
          <t>Alternative Source</t>
        </is>
      </c>
      <c r="I1" s="3" t="inlineStr"/>
      <c r="J1" s="4" t="inlineStr">
        <is>
          <t>Alternative Source 2</t>
        </is>
      </c>
      <c r="K1" s="3" t="inlineStr"/>
      <c r="L1" s="4" t="inlineStr">
        <is>
          <t>Alternative Source 3</t>
        </is>
      </c>
      <c r="M1" s="3" t="inlineStr"/>
      <c r="N1" s="4" t="inlineStr">
        <is>
          <t>Alternative Source 4</t>
        </is>
      </c>
      <c r="O1" s="3" t="inlineStr"/>
      <c r="P1" s="4" t="inlineStr">
        <is>
          <t>Alternative Source 5</t>
        </is>
      </c>
      <c r="Q1" s="4" t="inlineStr">
        <is>
          <t>Alternative Source 6</t>
        </is>
      </c>
      <c r="R1" s="3" t="inlineStr">
        <is>
          <t>Notes</t>
        </is>
      </c>
      <c r="S1" s="3" t="inlineStr">
        <is>
          <t>Link check</t>
        </is>
      </c>
    </row>
    <row r="2">
      <c r="A2" s="5" t="inlineStr">
        <is>
          <t>Filament</t>
        </is>
      </c>
      <c r="B2" s="5" t="inlineStr">
        <is>
          <t>Primary Color (Black)</t>
        </is>
      </c>
      <c r="C2" s="5" t="n"/>
      <c r="D2" s="5" t="inlineStr">
        <is>
          <t>2</t>
        </is>
      </c>
      <c r="E2" s="5" t="inlineStr">
        <is>
          <t>All</t>
        </is>
      </c>
      <c r="F2" s="6">
        <f>HYPERLINK("https://www.paramount-3d.com/product-page/absblack","Paramount ABS")</f>
        <v/>
      </c>
      <c r="G2" s="7">
        <f>HYPERLINK("https://amzn.to/2nb63qR","[Affiliate Link]")</f>
        <v/>
      </c>
      <c r="H2" s="5" t="n"/>
      <c r="I2" s="5" t="n"/>
      <c r="J2" s="5" t="n"/>
      <c r="K2" s="5" t="n"/>
      <c r="L2" s="5" t="n"/>
      <c r="M2" s="5" t="n"/>
      <c r="N2" s="5" t="n"/>
      <c r="O2" s="5" t="n"/>
      <c r="P2" s="5" t="n"/>
      <c r="Q2" s="5" t="n"/>
      <c r="R2" s="8" t="inlineStr">
        <is>
          <t>MakeShaper ABS</t>
        </is>
      </c>
      <c r="S2" s="5" t="n"/>
    </row>
    <row r="3">
      <c r="A3" s="5" t="inlineStr">
        <is>
          <t>Filament</t>
        </is>
      </c>
      <c r="B3" s="5" t="inlineStr">
        <is>
          <t>Secondary Color (Red)</t>
        </is>
      </c>
      <c r="C3" s="5" t="n"/>
      <c r="D3" s="5" t="inlineStr">
        <is>
          <t>1</t>
        </is>
      </c>
      <c r="E3" s="5" t="inlineStr">
        <is>
          <t>All</t>
        </is>
      </c>
      <c r="F3" s="6">
        <f>HYPERLINK("https://www.paramount-3d.com/product-page/abs-pantone-enzo-red-485c-1-75mm-1kg-filament-trrl3020485c","Paramount ABS")</f>
        <v/>
      </c>
      <c r="G3" s="7">
        <f>HYPERLINK("https://amzn.to/2lqEYQ1","[Affiliate Link]")</f>
        <v/>
      </c>
      <c r="H3" s="7">
        <f>HYPERLINK("https://www.amazon.com/dp/B00J0HB1YI","Hatchbox ABS")</f>
        <v/>
      </c>
      <c r="I3" s="7">
        <f>HYPERLINK("https://amzn.to/2ltf8Lj","[Affiliate Link]")</f>
        <v/>
      </c>
      <c r="J3" s="5" t="n"/>
      <c r="K3" s="5" t="n"/>
      <c r="L3" s="5" t="n"/>
      <c r="M3" s="5" t="n"/>
      <c r="N3" s="5" t="n"/>
      <c r="O3" s="5" t="n"/>
      <c r="P3" s="5" t="n"/>
      <c r="Q3" s="5" t="n"/>
      <c r="R3" s="8" t="inlineStr">
        <is>
          <t>MakeShaper ABS</t>
        </is>
      </c>
      <c r="S3" s="5" t="n"/>
    </row>
    <row r="4">
      <c r="A4" s="5" t="inlineStr">
        <is>
          <t>Printed Parts</t>
        </is>
      </c>
      <c r="B4" s="5" t="inlineStr">
        <is>
          <t>Printed Parts</t>
        </is>
      </c>
      <c r="C4" s="5" t="n"/>
      <c r="D4" s="5" t="inlineStr">
        <is>
          <t>1</t>
        </is>
      </c>
      <c r="E4" s="5" t="inlineStr">
        <is>
          <t>All</t>
        </is>
      </c>
      <c r="F4" s="6">
        <f>HYPERLINK("https://pif.voron.dev/","Print It Forward")</f>
        <v/>
      </c>
      <c r="G4" s="5" t="n"/>
      <c r="H4" s="5" t="inlineStr">
        <is>
          <t>Print Yourself</t>
        </is>
      </c>
      <c r="I4" s="5" t="n"/>
      <c r="J4" s="5" t="n"/>
      <c r="K4" s="5" t="n"/>
      <c r="L4" s="5" t="n"/>
      <c r="M4" s="5" t="n"/>
      <c r="N4" s="5" t="n"/>
      <c r="O4" s="5" t="n"/>
      <c r="P4" s="5" t="n"/>
      <c r="Q4" s="5" t="n"/>
      <c r="R4" s="5" t="n"/>
      <c r="S4" s="5" t="n"/>
    </row>
    <row r="5">
      <c r="A5" s="9" t="inlineStr">
        <is>
          <t>Fasteners</t>
        </is>
      </c>
      <c r="B5" s="9" t="inlineStr">
        <is>
          <t>M5x40 SHCS</t>
        </is>
      </c>
      <c r="C5" s="9" t="inlineStr">
        <is>
          <t>ISO 4762 / DIN 912</t>
        </is>
      </c>
      <c r="D5" s="9" t="inlineStr">
        <is>
          <t>25</t>
        </is>
      </c>
      <c r="E5" s="9" t="inlineStr">
        <is>
          <t>All</t>
        </is>
      </c>
      <c r="F5" s="10">
        <f>HYPERLINK("https://www.boltdepot.com/Product-Details.aspx?product=6527","Bolt Depot")</f>
        <v/>
      </c>
      <c r="G5" s="9" t="n"/>
      <c r="H5" s="11">
        <f>HYPERLINK("https://www.mcmaster.com/91290A196/","McMaster-Carr (10 pack)")</f>
        <v/>
      </c>
      <c r="I5" s="9" t="n"/>
      <c r="J5" s="9" t="n"/>
      <c r="K5" s="9" t="n"/>
      <c r="L5" s="9" t="n"/>
      <c r="M5" s="9" t="n"/>
      <c r="N5" s="9" t="n"/>
      <c r="O5" s="9" t="n"/>
      <c r="P5" s="9" t="n"/>
      <c r="Q5" s="9" t="n"/>
      <c r="R5" s="9" t="n"/>
      <c r="S5" s="9" t="n"/>
    </row>
    <row r="6">
      <c r="A6" s="9" t="inlineStr">
        <is>
          <t>Fasteners</t>
        </is>
      </c>
      <c r="B6" s="9" t="inlineStr">
        <is>
          <t>M5x30 BHCS</t>
        </is>
      </c>
      <c r="C6" s="9" t="inlineStr">
        <is>
          <t>ISO 7380-1</t>
        </is>
      </c>
      <c r="D6" s="9" t="inlineStr">
        <is>
          <t>22</t>
        </is>
      </c>
      <c r="E6" s="9" t="inlineStr">
        <is>
          <t>All</t>
        </is>
      </c>
      <c r="F6" s="10">
        <f>HYPERLINK("https://www.boltdepot.com/Product-Details.aspx?product=15651","Bolt Depot")</f>
        <v/>
      </c>
      <c r="G6" s="9" t="n"/>
      <c r="H6" s="11">
        <f>HYPERLINK("https://www.boltdepot.com/Product-Details.aspx?product=13348","Bolt Depot")</f>
        <v/>
      </c>
      <c r="I6" s="9" t="n"/>
      <c r="J6" s="11">
        <f>HYPERLINK("https://www.mcmaster.com/91239A236/","McMaster-Carr (100 pack)")</f>
        <v/>
      </c>
      <c r="K6" s="9" t="n"/>
      <c r="L6" s="9" t="n"/>
      <c r="M6" s="9" t="n"/>
      <c r="N6" s="9" t="n"/>
      <c r="O6" s="9" t="n"/>
      <c r="P6" s="9" t="n"/>
      <c r="Q6" s="9" t="n"/>
      <c r="R6" s="9" t="n"/>
      <c r="S6" s="9" t="n"/>
    </row>
    <row r="7">
      <c r="A7" s="9" t="inlineStr">
        <is>
          <t>Fasteners</t>
        </is>
      </c>
      <c r="B7" s="9" t="inlineStr">
        <is>
          <t>M5x16 BHCS</t>
        </is>
      </c>
      <c r="C7" s="9" t="inlineStr">
        <is>
          <t>ISO 7380-1</t>
        </is>
      </c>
      <c r="D7" s="9" t="inlineStr">
        <is>
          <t>31</t>
        </is>
      </c>
      <c r="E7" s="9" t="inlineStr">
        <is>
          <t>All</t>
        </is>
      </c>
      <c r="F7" s="10">
        <f>HYPERLINK("https://www.boltdepot.com/Product-Details.aspx?product=15648","Bolt Depot")</f>
        <v/>
      </c>
      <c r="G7" s="9" t="n"/>
      <c r="H7" s="11">
        <f>HYPERLINK("https://www.boltdepot.com/Product-Details.aspx?product=13345","Bolt Depot")</f>
        <v/>
      </c>
      <c r="I7" s="9" t="n"/>
      <c r="J7" s="11">
        <f>HYPERLINK("https://www.mcmaster.com/91239A232/","McMaster-Carr (100 pack)")</f>
        <v/>
      </c>
      <c r="K7" s="9" t="n"/>
      <c r="L7" s="9" t="n"/>
      <c r="M7" s="9" t="n"/>
      <c r="N7" s="9" t="n"/>
      <c r="O7" s="9" t="n"/>
      <c r="P7" s="9" t="n"/>
      <c r="Q7" s="9" t="n"/>
      <c r="R7" s="9" t="n"/>
      <c r="S7" s="9" t="n"/>
    </row>
    <row r="8">
      <c r="A8" s="9" t="inlineStr">
        <is>
          <t>Fasteners</t>
        </is>
      </c>
      <c r="B8" s="9" t="inlineStr">
        <is>
          <t>M5x10 BHCS</t>
        </is>
      </c>
      <c r="C8" s="9" t="inlineStr">
        <is>
          <t>ISO 7380-1</t>
        </is>
      </c>
      <c r="D8" s="9" t="inlineStr">
        <is>
          <t>40</t>
        </is>
      </c>
      <c r="E8" s="9" t="inlineStr">
        <is>
          <t>All</t>
        </is>
      </c>
      <c r="F8" s="10">
        <f>HYPERLINK("https://www.boltdepot.com/Product-Details.aspx?product=15646","Bolt Depot")</f>
        <v/>
      </c>
      <c r="G8" s="9" t="n"/>
      <c r="H8" s="11">
        <f>HYPERLINK("https://www.boltdepot.com/Product-Details.aspx?product=13343","Bolt Depot")</f>
        <v/>
      </c>
      <c r="I8" s="9" t="n"/>
      <c r="J8" s="11">
        <f>HYPERLINK("https://www.mcmaster.com/91239A224/","McMaster-Carr (100 pack)")</f>
        <v/>
      </c>
      <c r="K8" s="9" t="n"/>
      <c r="L8" s="9" t="n"/>
      <c r="M8" s="9" t="n"/>
      <c r="N8" s="9" t="n"/>
      <c r="O8" s="9" t="n"/>
      <c r="P8" s="9" t="n"/>
      <c r="Q8" s="9" t="n"/>
      <c r="R8" s="9" t="n"/>
      <c r="S8" s="9" t="n"/>
    </row>
    <row r="9">
      <c r="A9" s="9" t="inlineStr">
        <is>
          <t>Fasteners</t>
        </is>
      </c>
      <c r="B9" s="9" t="inlineStr">
        <is>
          <t>M4x6 BHCS</t>
        </is>
      </c>
      <c r="C9" s="9" t="inlineStr">
        <is>
          <t>ISO 7380-1</t>
        </is>
      </c>
      <c r="D9" s="9" t="inlineStr">
        <is>
          <t>7</t>
        </is>
      </c>
      <c r="E9" s="9" t="inlineStr">
        <is>
          <t>All</t>
        </is>
      </c>
      <c r="F9" s="10">
        <f>HYPERLINK("https://www.boltdepot.com/Product-Details.aspx?product=18944","Bolt Depot")</f>
        <v/>
      </c>
      <c r="G9" s="9" t="n"/>
      <c r="H9" s="11">
        <f>HYPERLINK("https://www.mcmaster.com/91239A138/","McMaster-Carr (100 pack)")</f>
        <v/>
      </c>
      <c r="I9" s="9" t="n"/>
      <c r="J9" s="9" t="n"/>
      <c r="K9" s="9" t="n"/>
      <c r="L9" s="9" t="n"/>
      <c r="M9" s="9" t="n"/>
      <c r="N9" s="9" t="n"/>
      <c r="O9" s="9" t="n"/>
      <c r="P9" s="9" t="n"/>
      <c r="Q9" s="9" t="n"/>
      <c r="R9" s="9" t="n"/>
      <c r="S9" s="9" t="n"/>
    </row>
    <row r="10">
      <c r="A10" s="9" t="inlineStr">
        <is>
          <t>Fasteners</t>
        </is>
      </c>
      <c r="B10" s="9" t="inlineStr">
        <is>
          <t>M3x40 SHCS</t>
        </is>
      </c>
      <c r="C10" s="9" t="inlineStr">
        <is>
          <t>ISO 4762 / DIN 912</t>
        </is>
      </c>
      <c r="D10" s="9" t="inlineStr">
        <is>
          <t>28</t>
        </is>
      </c>
      <c r="E10" s="9" t="inlineStr">
        <is>
          <t>All</t>
        </is>
      </c>
      <c r="F10" s="10">
        <f>HYPERLINK("https://www.boltdepot.com/Product-Details.aspx?product=6387","Bolt Depot")</f>
        <v/>
      </c>
      <c r="G10" s="9" t="n"/>
      <c r="H10" s="11">
        <f>HYPERLINK("https://www.mcmaster.com/91290A136/","McMaster-Carr (25 pack)")</f>
        <v/>
      </c>
      <c r="I10" s="9" t="n"/>
      <c r="J10" s="9" t="n"/>
      <c r="K10" s="9" t="n"/>
      <c r="L10" s="9" t="n"/>
      <c r="M10" s="9" t="n"/>
      <c r="N10" s="9" t="n"/>
      <c r="O10" s="9" t="n"/>
      <c r="P10" s="9" t="n"/>
      <c r="Q10" s="9" t="n"/>
      <c r="R10" s="9" t="n"/>
      <c r="S10" s="9" t="n"/>
    </row>
    <row r="11">
      <c r="A11" s="9" t="inlineStr">
        <is>
          <t>Fasteners</t>
        </is>
      </c>
      <c r="B11" s="9" t="inlineStr">
        <is>
          <t>M3x30 SHCS</t>
        </is>
      </c>
      <c r="C11" s="9" t="inlineStr">
        <is>
          <t>ISO 4762 / DIN 912</t>
        </is>
      </c>
      <c r="D11" s="9" t="inlineStr">
        <is>
          <t>32</t>
        </is>
      </c>
      <c r="E11" s="9" t="inlineStr">
        <is>
          <t>All</t>
        </is>
      </c>
      <c r="F11" s="10">
        <f>HYPERLINK("https://www.boltdepot.com/Product-Details.aspx?product=13641","Bolt Depot")</f>
        <v/>
      </c>
      <c r="G11" s="9" t="n"/>
      <c r="H11" s="11">
        <f>HYPERLINK("https://www.mcmaster.com/91290A171/","McMaster-Carr (10 pack)")</f>
        <v/>
      </c>
      <c r="I11" s="9" t="n"/>
      <c r="J11" s="9" t="n"/>
      <c r="K11" s="9" t="n"/>
      <c r="L11" s="9" t="n"/>
      <c r="M11" s="9" t="n"/>
      <c r="N11" s="9" t="n"/>
      <c r="O11" s="9" t="n"/>
      <c r="P11" s="9" t="n"/>
      <c r="Q11" s="9" t="n"/>
      <c r="R11" s="9" t="n"/>
      <c r="S11" s="9" t="n"/>
    </row>
    <row r="12">
      <c r="A12" s="9" t="inlineStr">
        <is>
          <t>Fasteners</t>
        </is>
      </c>
      <c r="B12" s="9" t="inlineStr">
        <is>
          <t>M3x20 SHCS</t>
        </is>
      </c>
      <c r="C12" s="9" t="inlineStr">
        <is>
          <t>ISO 4762 / DIN 912</t>
        </is>
      </c>
      <c r="D12" s="9" t="inlineStr">
        <is>
          <t>29</t>
        </is>
      </c>
      <c r="E12" s="9" t="inlineStr">
        <is>
          <t>All</t>
        </is>
      </c>
      <c r="F12" s="10">
        <f>HYPERLINK("https://www.boltdepot.com/Product-Details.aspx?product=13639","Bolt Depot")</f>
        <v/>
      </c>
      <c r="G12" s="9" t="n"/>
      <c r="H12" s="11">
        <f>HYPERLINK("https://www.mcmaster.com/91290A123/","McMaster-Carr (100 pack)")</f>
        <v/>
      </c>
      <c r="I12" s="9" t="n"/>
      <c r="J12" s="9" t="n"/>
      <c r="K12" s="9" t="n"/>
      <c r="L12" s="9" t="n"/>
      <c r="M12" s="9" t="n"/>
      <c r="N12" s="9" t="n"/>
      <c r="O12" s="9" t="n"/>
      <c r="P12" s="9" t="n"/>
      <c r="Q12" s="9" t="n"/>
      <c r="R12" s="9" t="n"/>
      <c r="S12" s="9" t="n"/>
    </row>
    <row r="13">
      <c r="A13" s="9" t="inlineStr">
        <is>
          <t>Fasteners</t>
        </is>
      </c>
      <c r="B13" s="9" t="inlineStr">
        <is>
          <t>M3x16 SHCS</t>
        </is>
      </c>
      <c r="C13" s="9" t="inlineStr">
        <is>
          <t>ISO 4762 / DIN 912</t>
        </is>
      </c>
      <c r="D13" s="9" t="inlineStr">
        <is>
          <t>20</t>
        </is>
      </c>
      <c r="E13" s="9" t="inlineStr">
        <is>
          <t>All</t>
        </is>
      </c>
      <c r="F13" s="10">
        <f>HYPERLINK("https://www.boltdepot.com/Product-Details.aspx?product=13638","Bolt Depot")</f>
        <v/>
      </c>
      <c r="G13" s="9" t="n"/>
      <c r="H13" s="11">
        <f>HYPERLINK("https://www.mcmaster.com/91290A120/","McMaster-Carr (100 pack)")</f>
        <v/>
      </c>
      <c r="I13" s="9" t="n"/>
      <c r="J13" s="9" t="n"/>
      <c r="K13" s="9" t="n"/>
      <c r="L13" s="9" t="n"/>
      <c r="M13" s="9" t="n"/>
      <c r="N13" s="9" t="n"/>
      <c r="O13" s="9" t="n"/>
      <c r="P13" s="9" t="n"/>
      <c r="Q13" s="9" t="n"/>
      <c r="R13" s="9" t="n"/>
      <c r="S13" s="9" t="n"/>
    </row>
    <row r="14">
      <c r="A14" s="9" t="inlineStr">
        <is>
          <t>Fasteners</t>
        </is>
      </c>
      <c r="B14" s="9" t="inlineStr">
        <is>
          <t>M3x12 SHCS</t>
        </is>
      </c>
      <c r="C14" s="9" t="inlineStr">
        <is>
          <t>ISO 4762 / DIN 912</t>
        </is>
      </c>
      <c r="D14" s="9" t="inlineStr">
        <is>
          <t>23</t>
        </is>
      </c>
      <c r="E14" s="9" t="inlineStr">
        <is>
          <t>All</t>
        </is>
      </c>
      <c r="F14" s="10">
        <f>HYPERLINK("https://www.boltdepot.com/Product-Details.aspx?product=13637","Bolt Depot")</f>
        <v/>
      </c>
      <c r="G14" s="9" t="n"/>
      <c r="H14" s="11">
        <f>HYPERLINK("https://www.mcmaster.com/91290A117/","McMaster-Carr (100 pack)")</f>
        <v/>
      </c>
      <c r="I14" s="9" t="n"/>
      <c r="J14" s="9" t="n"/>
      <c r="K14" s="9" t="n"/>
      <c r="L14" s="9" t="n"/>
      <c r="M14" s="9" t="n"/>
      <c r="N14" s="9" t="n"/>
      <c r="O14" s="9" t="n"/>
      <c r="P14" s="9" t="n"/>
      <c r="Q14" s="9" t="n"/>
      <c r="R14" s="9" t="n"/>
      <c r="S14" s="9" t="n"/>
    </row>
    <row r="15">
      <c r="A15" s="9" t="inlineStr">
        <is>
          <t>Fasteners</t>
        </is>
      </c>
      <c r="B15" s="9" t="inlineStr">
        <is>
          <t>M3x8 SHCS</t>
        </is>
      </c>
      <c r="C15" s="9" t="inlineStr">
        <is>
          <t>ISO 4762 / DIN 912</t>
        </is>
      </c>
      <c r="D15" s="9" t="inlineStr">
        <is>
          <t>201-217</t>
        </is>
      </c>
      <c r="E15" s="9" t="inlineStr">
        <is>
          <t>All</t>
        </is>
      </c>
      <c r="F15" s="10">
        <f>HYPERLINK("https://www.boltdepot.com/Product-Details.aspx?product=13635","Bolt Depot")</f>
        <v/>
      </c>
      <c r="G15" s="9" t="n"/>
      <c r="H15" s="11">
        <f>HYPERLINK("https://www.boltdepot.com/Product-Details.aspx?product=13633","Bolt Depot")</f>
        <v/>
      </c>
      <c r="I15" s="9" t="n"/>
      <c r="J15" s="11">
        <f>HYPERLINK("https://www.mcmaster.com/91290A113/","McMaster-Carr (100 pack)")</f>
        <v/>
      </c>
      <c r="K15" s="9" t="n"/>
      <c r="L15" s="9" t="n"/>
      <c r="M15" s="9" t="n"/>
      <c r="N15" s="9" t="n"/>
      <c r="O15" s="9" t="n"/>
      <c r="P15" s="9" t="n"/>
      <c r="Q15" s="9" t="n"/>
      <c r="R15" s="9" t="n"/>
      <c r="S15" s="9" t="n"/>
    </row>
    <row r="16">
      <c r="A16" s="9" t="inlineStr">
        <is>
          <t>Fasteners</t>
        </is>
      </c>
      <c r="B16" s="9" t="inlineStr">
        <is>
          <t>M3x6 FHCS</t>
        </is>
      </c>
      <c r="C16" s="9" t="inlineStr">
        <is>
          <t>ISO 10642 / DIN 7991</t>
        </is>
      </c>
      <c r="D16" s="9" t="inlineStr">
        <is>
          <t>10</t>
        </is>
      </c>
      <c r="E16" s="9" t="inlineStr">
        <is>
          <t>All</t>
        </is>
      </c>
      <c r="F16" s="10">
        <f>HYPERLINK("https://www.boltdepot.com/Product-Details.aspx?product=13249","Bolt Depot")</f>
        <v/>
      </c>
      <c r="G16" s="9" t="n"/>
      <c r="H16" s="11">
        <f>HYPERLINK("https://www.mcmaster.com/91294A126/","McMaster-Carr (100 pack)")</f>
        <v/>
      </c>
      <c r="I16" s="9" t="n"/>
      <c r="J16" s="9" t="n"/>
      <c r="K16" s="9" t="n"/>
      <c r="L16" s="9" t="n"/>
      <c r="M16" s="9" t="n"/>
      <c r="N16" s="9" t="n"/>
      <c r="O16" s="9" t="n"/>
      <c r="P16" s="9" t="n"/>
      <c r="Q16" s="9" t="n"/>
      <c r="R16" s="9" t="n"/>
      <c r="S16" s="9" t="n"/>
    </row>
    <row r="17">
      <c r="A17" s="9" t="inlineStr">
        <is>
          <t>Fasteners</t>
        </is>
      </c>
      <c r="B17" s="9" t="inlineStr">
        <is>
          <t>M3x6 BHCS</t>
        </is>
      </c>
      <c r="C17" s="9" t="inlineStr">
        <is>
          <t>ISO 7380-1</t>
        </is>
      </c>
      <c r="D17" s="9" t="inlineStr">
        <is>
          <t>12</t>
        </is>
      </c>
      <c r="E17" s="9" t="inlineStr">
        <is>
          <t>All</t>
        </is>
      </c>
      <c r="F17" s="10">
        <f>HYPERLINK("https://www.boltdepot.com/Product-Details.aspx?product=13334","Bolt Depot")</f>
        <v/>
      </c>
      <c r="G17" s="9" t="n"/>
      <c r="H17" s="11">
        <f>HYPERLINK("https://www.boltdepot.com/Metric_socket_button_head_Class_12.9_alloy_steel_black_oxide_finish_3mm_x_0.5mm.aspx","Bolt Depot")</f>
        <v/>
      </c>
      <c r="I17" s="9" t="n"/>
      <c r="J17" s="11">
        <f>HYPERLINK("https://www.mcmaster.com/91239A111/","McMaster-Carr (100 pack)")</f>
        <v/>
      </c>
      <c r="K17" s="9" t="n"/>
      <c r="L17" s="11">
        <f>HYPERLINK("https://s.click.aliexpress.com/e/_d7V4XEq","Aliexpress")</f>
        <v/>
      </c>
      <c r="M17" s="9" t="n"/>
      <c r="N17" s="9" t="n"/>
      <c r="O17" s="9" t="n"/>
      <c r="P17" s="9" t="n"/>
      <c r="Q17" s="9" t="n"/>
      <c r="R17" s="9" t="n"/>
      <c r="S17" s="9" t="n"/>
    </row>
    <row r="18">
      <c r="A18" s="9" t="inlineStr">
        <is>
          <t>Fasteners</t>
        </is>
      </c>
      <c r="B18" s="9" t="inlineStr">
        <is>
          <t>M2x10 Self Tapping Screw for Plastics</t>
        </is>
      </c>
      <c r="C18" s="9" t="n"/>
      <c r="D18" s="9" t="inlineStr">
        <is>
          <t>15</t>
        </is>
      </c>
      <c r="E18" s="9" t="inlineStr">
        <is>
          <t>All</t>
        </is>
      </c>
      <c r="F18" s="10">
        <f>HYPERLINK("https://www.aliexpress.com/item/33043885403.html","Aliexpress")</f>
        <v/>
      </c>
      <c r="G18" s="9" t="n"/>
      <c r="H18" s="11">
        <f>HYPERLINK("https://www.mcmaster.com/99397A267/","McMaster-Carr (50 pack)")</f>
        <v/>
      </c>
      <c r="I18" s="9" t="n"/>
      <c r="J18" s="11">
        <f>HYPERLINK("https://amzn.to/2JFQPSK","Amazon - kit")</f>
        <v/>
      </c>
      <c r="K18" s="9" t="n"/>
      <c r="L18" s="11">
        <f>HYPERLINK("https://s.click.aliexpress.com/e/_d6tILYa","Aliexpress")</f>
        <v/>
      </c>
      <c r="M18" s="9" t="n"/>
      <c r="N18" s="11">
        <f>HYPERLINK("https://www.amazon.com/dp/B012THLK1E","Amazon")</f>
        <v/>
      </c>
      <c r="O18" s="9" t="n"/>
      <c r="P18" s="9" t="n"/>
      <c r="Q18" s="9" t="n"/>
      <c r="R18" s="9" t="n"/>
      <c r="S18" s="12" t="inlineStr">
        <is>
          <t>some links were dead</t>
        </is>
      </c>
    </row>
    <row r="19">
      <c r="A19" s="9" t="inlineStr">
        <is>
          <t>Fasteners</t>
        </is>
      </c>
      <c r="B19" s="9" t="inlineStr">
        <is>
          <t>M3 Heat Set Insert (M3x5x4)</t>
        </is>
      </c>
      <c r="C19" s="9" t="n"/>
      <c r="D19" s="9" t="inlineStr">
        <is>
          <t>90</t>
        </is>
      </c>
      <c r="E19" s="9" t="inlineStr">
        <is>
          <t>All</t>
        </is>
      </c>
      <c r="F19" s="10">
        <f>HYPERLINK("https://www.aliexpress.com/item/4000232858343.html","Aliexpress - M3x5x4")</f>
        <v/>
      </c>
      <c r="G19" s="11">
        <f>HYPERLINK("https://s.click.aliexpress.com/e/_dW3Uprs","[Affiliate Link]")</f>
        <v/>
      </c>
      <c r="H19" s="11">
        <f>HYPERLINK("https://s.click.aliexpress.com/e/_ANjqIj","Aliexpress")</f>
        <v/>
      </c>
      <c r="I19" s="9" t="n"/>
      <c r="J19" s="11">
        <f>HYPERLINK("https://www.amazon.com/dp/B077CJV3Z9","Amazon")</f>
        <v/>
      </c>
      <c r="K19" s="9" t="n"/>
      <c r="L19" s="11">
        <f>HYPERLINK("https://s.click.aliexpress.com/e/_dWMOd8C","Aliexpress - M3x5x4")</f>
        <v/>
      </c>
      <c r="M19" s="9" t="n"/>
      <c r="N19" s="11">
        <f>HYPERLINK("https://www.mcmaster.com/94180A331/","McMaster-Carr")</f>
        <v/>
      </c>
      <c r="O19" s="9" t="n"/>
      <c r="P19" s="11">
        <f>HYPERLINK("https://s.click.aliexpress.com/e/_dW3Uprs","AliExpress")</f>
        <v/>
      </c>
      <c r="Q19" s="11">
        <f>HYPERLINK("https://cnckitchenus.store/products/made-for-voron-gewindeeinsatz-threaded-insert-m3x5x4-100-stk-pcs","CNC Kitchen")</f>
        <v/>
      </c>
      <c r="R19" s="9" t="n"/>
      <c r="S19" s="9" t="n"/>
    </row>
    <row r="20">
      <c r="A20" s="9" t="inlineStr">
        <is>
          <t>Fasteners</t>
        </is>
      </c>
      <c r="B20" s="9" t="inlineStr">
        <is>
          <t>M4 knurled nut</t>
        </is>
      </c>
      <c r="C20" s="9" t="inlineStr">
        <is>
          <t>DIN 466-B</t>
        </is>
      </c>
      <c r="D20" s="9" t="inlineStr">
        <is>
          <t>4</t>
        </is>
      </c>
      <c r="E20" s="9" t="inlineStr">
        <is>
          <t>All</t>
        </is>
      </c>
      <c r="F20" s="9" t="n"/>
      <c r="G20" s="9" t="n"/>
      <c r="H20" s="9" t="n"/>
      <c r="I20" s="9" t="n"/>
      <c r="J20" s="9" t="n"/>
      <c r="K20" s="9" t="n"/>
      <c r="L20" s="9" t="n"/>
      <c r="M20" s="9" t="n"/>
      <c r="N20" s="9" t="n"/>
      <c r="O20" s="9" t="n"/>
      <c r="P20" s="9" t="n"/>
      <c r="Q20" s="9" t="n"/>
      <c r="R20" s="9" t="n"/>
      <c r="S20" s="9" t="n"/>
    </row>
    <row r="21">
      <c r="A21" s="9" t="inlineStr">
        <is>
          <t>Fasteners</t>
        </is>
      </c>
      <c r="B21" s="9" t="inlineStr">
        <is>
          <t>5x10x1 Shim Ring</t>
        </is>
      </c>
      <c r="C21" s="9" t="inlineStr">
        <is>
          <t>DIN 988</t>
        </is>
      </c>
      <c r="D21" s="9" t="inlineStr">
        <is>
          <t>42</t>
        </is>
      </c>
      <c r="E21" s="9" t="inlineStr">
        <is>
          <t>All</t>
        </is>
      </c>
      <c r="F21" s="10">
        <f>HYPERLINK("https://www.aliexpress.com/item/32917948919.html","Aliexpress")</f>
        <v/>
      </c>
      <c r="G21" s="11">
        <f>HYPERLINK("https://s.click.aliexpress.com/e/41Vkdm7q","[Affiliate Link]")</f>
        <v/>
      </c>
      <c r="H21" s="11">
        <f>HYPERLINK("https://www.mcmaster.com/98055A099/","McMaster-Carr (50 pack)")</f>
        <v/>
      </c>
      <c r="I21" s="9" t="n"/>
      <c r="J21" s="11">
        <f>HYPERLINK("https://s.click.aliexpress.com/e/41Vkdm7q","AliExpress")</f>
        <v/>
      </c>
      <c r="K21" s="9" t="n"/>
      <c r="L21" s="9" t="n"/>
      <c r="M21" s="9" t="n"/>
      <c r="N21" s="9" t="n"/>
      <c r="O21" s="9" t="n"/>
      <c r="P21" s="9" t="n"/>
      <c r="Q21" s="9" t="n"/>
      <c r="R21" s="9" t="n"/>
      <c r="S21" s="9" t="n"/>
    </row>
    <row r="22">
      <c r="A22" s="9" t="inlineStr">
        <is>
          <t>Fasteners</t>
        </is>
      </c>
      <c r="B22" s="9" t="inlineStr">
        <is>
          <t>M3 Washer</t>
        </is>
      </c>
      <c r="C22" s="9" t="inlineStr">
        <is>
          <t>ISO 7089 / DIN 125</t>
        </is>
      </c>
      <c r="D22" s="9" t="inlineStr">
        <is>
          <t>2</t>
        </is>
      </c>
      <c r="E22" s="9" t="inlineStr">
        <is>
          <t>All</t>
        </is>
      </c>
      <c r="F22" s="10">
        <f>HYPERLINK("https://www.boltdepot.com/Product-Details.aspx?product=4513","Bolt Depot")</f>
        <v/>
      </c>
      <c r="G22" s="9" t="n"/>
      <c r="H22" s="11">
        <f>HYPERLINK("https://www.mcmaster.com/93475A210/","McMaster-Carr (100 pack)")</f>
        <v/>
      </c>
      <c r="I22" s="9" t="n"/>
      <c r="J22" s="9" t="n"/>
      <c r="K22" s="9" t="n"/>
      <c r="L22" s="9" t="n"/>
      <c r="M22" s="9" t="n"/>
      <c r="N22" s="9" t="n"/>
      <c r="O22" s="9" t="n"/>
      <c r="P22" s="9" t="n"/>
      <c r="Q22" s="9" t="n"/>
      <c r="R22" s="9" t="n"/>
      <c r="S22" s="9" t="n"/>
    </row>
    <row r="23">
      <c r="A23" s="9" t="inlineStr">
        <is>
          <t>Fasteners</t>
        </is>
      </c>
      <c r="B23" s="9" t="inlineStr">
        <is>
          <t>M5 Hexnut</t>
        </is>
      </c>
      <c r="C23" s="9" t="inlineStr">
        <is>
          <t>ISO 4033 / DIN 934</t>
        </is>
      </c>
      <c r="D23" s="9" t="inlineStr">
        <is>
          <t>26</t>
        </is>
      </c>
      <c r="E23" s="9" t="inlineStr">
        <is>
          <t>All</t>
        </is>
      </c>
      <c r="F23" s="10">
        <f>HYPERLINK("https://www.boltdepot.com/Product-Details.aspx?product=4785","Bolt Depot")</f>
        <v/>
      </c>
      <c r="G23" s="9" t="n"/>
      <c r="H23" s="11">
        <f>HYPERLINK("https://www.boltdepot.com/Metric_hex_nuts_Stainless_steel_18-8_(A-2).aspx","Bolt Depot")</f>
        <v/>
      </c>
      <c r="I23" s="9" t="n"/>
      <c r="J23" s="9" t="n"/>
      <c r="K23" s="9" t="n"/>
      <c r="L23" s="9" t="n"/>
      <c r="M23" s="9" t="n"/>
      <c r="N23" s="9" t="n"/>
      <c r="O23" s="9" t="n"/>
      <c r="P23" s="9" t="n"/>
      <c r="Q23" s="9" t="n"/>
      <c r="R23" s="9" t="n"/>
      <c r="S23" s="9" t="n"/>
    </row>
    <row r="24">
      <c r="A24" s="9" t="inlineStr">
        <is>
          <t>Hardware</t>
        </is>
      </c>
      <c r="B24" s="9" t="inlineStr">
        <is>
          <t>M3 Hexnut</t>
        </is>
      </c>
      <c r="C24" s="9" t="inlineStr">
        <is>
          <t>ISO 4033 / DIN 934</t>
        </is>
      </c>
      <c r="D24" s="9" t="inlineStr">
        <is>
          <t>7</t>
        </is>
      </c>
      <c r="E24" s="9" t="inlineStr">
        <is>
          <t>All</t>
        </is>
      </c>
      <c r="F24" s="10">
        <f>HYPERLINK("https://www.boltdepot.com/Product-Details.aspx?product=4783","Bolt Depot")</f>
        <v/>
      </c>
      <c r="G24" s="9" t="n"/>
      <c r="H24" s="11">
        <f>HYPERLINK("https://www.boltdepot.com/Metric_hex_nuts_Stainless_steel_18-8_(A-2).aspx","Bolt Depot")</f>
        <v/>
      </c>
      <c r="I24" s="9" t="n"/>
      <c r="J24" s="11">
        <f>HYPERLINK("https://www.mcmaster.com/90591A250/","McMaster-Carr (100 pack)")</f>
        <v/>
      </c>
      <c r="K24" s="9" t="n"/>
      <c r="L24" s="11">
        <f>HYPERLINK("https://www.aliexpress.com/item/32977174437.html","Aliexpress")</f>
        <v/>
      </c>
      <c r="M24" s="9" t="n"/>
      <c r="N24" s="9" t="n"/>
      <c r="O24" s="9" t="n"/>
      <c r="P24" s="9" t="n"/>
      <c r="Q24" s="9" t="n"/>
      <c r="R24" s="9" t="n"/>
      <c r="S24" s="9" t="n"/>
    </row>
    <row r="25">
      <c r="A25" s="9" t="inlineStr">
        <is>
          <t>Fasteners</t>
        </is>
      </c>
      <c r="B25" s="9" t="inlineStr">
        <is>
          <t>M3 T-nut HNTAJ5-3</t>
        </is>
      </c>
      <c r="C25" s="9" t="n"/>
      <c r="D25" s="9" t="inlineStr">
        <is>
          <t>104-120</t>
        </is>
      </c>
      <c r="E25" s="9" t="inlineStr">
        <is>
          <t>All</t>
        </is>
      </c>
      <c r="F25" s="10">
        <f>HYPERLINK("https://us.misumi-ec.com/vona2/detail/110302247910","Misumi")</f>
        <v/>
      </c>
      <c r="G25" s="9" t="n"/>
      <c r="H25" s="11">
        <f>HYPERLINK("https://www.aliexpress.com/item/32805163712.html","ZFhong")</f>
        <v/>
      </c>
      <c r="I25" s="11">
        <f>HYPERLINK("https://s.click.aliexpress.com/e/KUHCwnu4","[Affiliate Link]")</f>
        <v/>
      </c>
      <c r="J25" s="11">
        <f>HYPERLINK("https://www.aliexpress.com/item/32706208829.html","Link CNC")</f>
        <v/>
      </c>
      <c r="K25" s="11">
        <f>HYPERLINK("https://s.click.aliexpress.com/e/CjL58TXS","[Affiliate Link]")</f>
        <v/>
      </c>
      <c r="L25" s="9" t="n"/>
      <c r="M25" s="9" t="n"/>
      <c r="N25" s="9" t="n"/>
      <c r="O25" s="9" t="n"/>
      <c r="P25" s="9" t="n"/>
      <c r="Q25" s="9" t="n"/>
      <c r="R25" s="13" t="inlineStr">
        <is>
          <t>Misumi short t-nuts are not required anywhere in the V2.4 build. You can source the cheaper ball spring options if you choose.</t>
        </is>
      </c>
      <c r="S25" s="9" t="n"/>
    </row>
    <row r="26">
      <c r="A26" s="9" t="inlineStr">
        <is>
          <t>Fasteners</t>
        </is>
      </c>
      <c r="B26" s="9" t="inlineStr">
        <is>
          <t>M5 T-nut HNTAJ5-5</t>
        </is>
      </c>
      <c r="C26" s="9" t="n"/>
      <c r="D26" s="9" t="inlineStr">
        <is>
          <t>61</t>
        </is>
      </c>
      <c r="E26" s="9" t="inlineStr">
        <is>
          <t>All</t>
        </is>
      </c>
      <c r="F26" s="10">
        <f>HYPERLINK("https://us.misumi-ec.com/vona2/detail/110302247910","Misumi")</f>
        <v/>
      </c>
      <c r="G26" s="9" t="n"/>
      <c r="H26" s="11">
        <f>HYPERLINK("https://www.aliexpress.com/item/32805163712.html","ZFhong")</f>
        <v/>
      </c>
      <c r="I26" s="11">
        <f>HYPERLINK("https://s.click.aliexpress.com/e/Cj06YPR2","[Affiliate Link]")</f>
        <v/>
      </c>
      <c r="J26" s="11">
        <f>HYPERLINK("https://www.aliexpress.com/item/32706208829.html","Link CNC")</f>
        <v/>
      </c>
      <c r="K26" s="11">
        <f>HYPERLINK("https://s.click.aliexpress.com/e/rRVnt3M4","[Affiliate Link]")</f>
        <v/>
      </c>
      <c r="L26" s="9" t="n"/>
      <c r="M26" s="9" t="n"/>
      <c r="N26" s="9" t="n"/>
      <c r="O26" s="9" t="n"/>
      <c r="P26" s="9" t="n"/>
      <c r="Q26" s="9" t="n"/>
      <c r="R26" s="13" t="inlineStr">
        <is>
          <t>Misumi short t-nuts are not required anywhere in the V2.4 build. You can source the cheaper ball spring options if you choose.</t>
        </is>
      </c>
      <c r="S26" s="9" t="n"/>
    </row>
    <row r="27">
      <c r="A27" s="9" t="inlineStr">
        <is>
          <t>Fasteners</t>
        </is>
      </c>
      <c r="B27" s="9" t="inlineStr">
        <is>
          <t>M3 Hammer Head T-Nuts</t>
        </is>
      </c>
      <c r="C27" s="9" t="n"/>
      <c r="D27" s="9" t="inlineStr">
        <is>
          <t>47</t>
        </is>
      </c>
      <c r="E27" s="9" t="inlineStr">
        <is>
          <t>All</t>
        </is>
      </c>
      <c r="F27" s="10">
        <f>HYPERLINK("https://www.amazon.com/dp/B07SDFCTD4","Amazon")</f>
        <v/>
      </c>
      <c r="G27" s="9" t="n"/>
      <c r="H27" s="9" t="n"/>
      <c r="I27" s="9" t="n"/>
      <c r="J27" s="9" t="n"/>
      <c r="K27" s="9" t="n"/>
      <c r="L27" s="9" t="n"/>
      <c r="M27" s="9" t="n"/>
      <c r="N27" s="9" t="n"/>
      <c r="O27" s="9" t="n"/>
      <c r="P27" s="9" t="n"/>
      <c r="Q27" s="9" t="n"/>
      <c r="R27" s="9" t="n"/>
      <c r="S27" s="12" t="inlineStr">
        <is>
          <t>some links were dead</t>
        </is>
      </c>
    </row>
    <row r="28">
      <c r="A28" s="14" t="inlineStr">
        <is>
          <t>Motion</t>
        </is>
      </c>
      <c r="B28" s="14" t="inlineStr">
        <is>
          <t>GT2 Open Belt LL-2GT-6 (6mm wide) - Length Dependant on Config</t>
        </is>
      </c>
      <c r="C28" s="14" t="n"/>
      <c r="D28" s="14" t="inlineStr">
        <is>
          <t>2</t>
        </is>
      </c>
      <c r="E28" s="14" t="inlineStr">
        <is>
          <t>All</t>
        </is>
      </c>
      <c r="F28" s="15">
        <f>HYPERLINK("https://www.aliexpress.com/item/32853559638.html","Trianglelab")</f>
        <v/>
      </c>
      <c r="G28" s="16">
        <f>HYPERLINK("https://s.click.aliexpress.com/e/2pncOJKs","[Affiliate Link]")</f>
        <v/>
      </c>
      <c r="H28" s="16">
        <f>HYPERLINK("https://www.aliexpress.com/item/32987817703.html","POWGE")</f>
        <v/>
      </c>
      <c r="I28" s="16">
        <f>HYPERLINK("https://s.click.aliexpress.com/e/_9G8ynJ","[Affiliate Link]")</f>
        <v/>
      </c>
      <c r="J28" s="14" t="n"/>
      <c r="K28" s="14" t="n"/>
      <c r="L28" s="14" t="n"/>
      <c r="M28" s="14" t="n"/>
      <c r="N28" s="14" t="n"/>
      <c r="O28" s="14" t="n"/>
      <c r="P28" s="14" t="n"/>
      <c r="Q28" s="14" t="n"/>
      <c r="R28" s="17" t="inlineStr">
        <is>
          <t>GATES belts are required for every open loop belt on the machine. SDP-SI is a US gates reseller (and tested)</t>
        </is>
      </c>
      <c r="S28" s="18" t="inlineStr">
        <is>
          <t>some links were dead</t>
        </is>
      </c>
    </row>
    <row r="29">
      <c r="A29" s="14" t="inlineStr">
        <is>
          <t>Motion</t>
        </is>
      </c>
      <c r="B29" s="14" t="inlineStr">
        <is>
          <t>GT2 Open Belt LL-2GT-9 (9mm wide) - Length Dependant on Config</t>
        </is>
      </c>
      <c r="C29" s="14" t="n"/>
      <c r="D29" s="14" t="inlineStr">
        <is>
          <t>4</t>
        </is>
      </c>
      <c r="E29" s="14" t="inlineStr">
        <is>
          <t>All</t>
        </is>
      </c>
      <c r="F29" s="14" t="n"/>
      <c r="G29" s="14" t="n"/>
      <c r="H29" s="14" t="n"/>
      <c r="I29" s="14" t="n"/>
      <c r="J29" s="14" t="n"/>
      <c r="K29" s="14" t="n"/>
      <c r="L29" s="14" t="n"/>
      <c r="M29" s="14" t="n"/>
      <c r="N29" s="14" t="n"/>
      <c r="O29" s="14" t="n"/>
      <c r="P29" s="14" t="n"/>
      <c r="Q29" s="14" t="n"/>
      <c r="R29" s="14" t="n"/>
      <c r="S29" s="18" t="inlineStr">
        <is>
          <t>all links were dead</t>
        </is>
      </c>
    </row>
    <row r="30">
      <c r="A30" s="14" t="inlineStr">
        <is>
          <t>Motion</t>
        </is>
      </c>
      <c r="B30" s="14" t="inlineStr">
        <is>
          <t>GT2 Belt Loop (6mm wide) - 188mm</t>
        </is>
      </c>
      <c r="C30" s="14" t="n"/>
      <c r="D30" s="14" t="inlineStr">
        <is>
          <t>4</t>
        </is>
      </c>
      <c r="E30" s="14" t="inlineStr">
        <is>
          <t>All</t>
        </is>
      </c>
      <c r="F30" s="15">
        <f>HYPERLINK("https://www.aliexpress.com/item/4000034021834.html","POWGE")</f>
        <v/>
      </c>
      <c r="G30" s="16">
        <f>HYPERLINK("https://s.click.aliexpress.com/e/ripvAfVQ","[Affiliate Link]")</f>
        <v/>
      </c>
      <c r="H30" s="16">
        <f>HYPERLINK("https://s.click.aliexpress.com/e/ripvAfVQ","AliExpress")</f>
        <v/>
      </c>
      <c r="I30" s="14" t="n"/>
      <c r="J30" s="14" t="n"/>
      <c r="K30" s="14" t="n"/>
      <c r="L30" s="14" t="n"/>
      <c r="M30" s="14" t="n"/>
      <c r="N30" s="14" t="n"/>
      <c r="O30" s="14" t="n"/>
      <c r="P30" s="14" t="n"/>
      <c r="Q30" s="14" t="n"/>
      <c r="R30" s="14" t="n"/>
      <c r="S30" s="18" t="inlineStr">
        <is>
          <t>some links were dead</t>
        </is>
      </c>
    </row>
    <row r="31">
      <c r="A31" s="14" t="inlineStr">
        <is>
          <t>Motion</t>
        </is>
      </c>
      <c r="B31" s="14" t="inlineStr">
        <is>
          <t>GT2 20T (6mm wide) Pulley (5mm bore)</t>
        </is>
      </c>
      <c r="C31" s="14" t="n"/>
      <c r="D31" s="14" t="inlineStr">
        <is>
          <t>3</t>
        </is>
      </c>
      <c r="E31" s="14" t="inlineStr">
        <is>
          <t>All</t>
        </is>
      </c>
      <c r="F31" s="15">
        <f>HYPERLINK("https://www.aliexpress.com/item/32226562320.html","POWGE")</f>
        <v/>
      </c>
      <c r="G31" s="16">
        <f>HYPERLINK("https://s.click.aliexpress.com/e/E1Y0mkUu","[Affiliate Link]")</f>
        <v/>
      </c>
      <c r="H31" s="16">
        <f>HYPERLINK("https://s.click.aliexpress.com/e/_AqN4lx","Aliexpress")</f>
        <v/>
      </c>
      <c r="I31" s="14" t="n"/>
      <c r="J31" s="16">
        <f>HYPERLINK("https://s.click.aliexpress.com/e/E1Y0mkUu","AliExpress")</f>
        <v/>
      </c>
      <c r="K31" s="14" t="n"/>
      <c r="L31" s="16">
        <f>HYPERLINK("https://s.click.aliexpress.com/e/_dYtoM9A","Aliexpress")</f>
        <v/>
      </c>
      <c r="M31" s="14" t="n"/>
      <c r="N31" s="14" t="n"/>
      <c r="O31" s="14" t="n"/>
      <c r="P31" s="14" t="n"/>
      <c r="Q31" s="14" t="n"/>
      <c r="R31" s="14" t="n"/>
      <c r="S31" s="14" t="n"/>
    </row>
    <row r="32">
      <c r="A32" s="14" t="inlineStr">
        <is>
          <t>Motion</t>
        </is>
      </c>
      <c r="B32" s="14" t="inlineStr">
        <is>
          <t>GT2 16T (6mm wide) Pulley (5mm bore)</t>
        </is>
      </c>
      <c r="C32" s="14" t="n"/>
      <c r="D32" s="14" t="inlineStr">
        <is>
          <t>4</t>
        </is>
      </c>
      <c r="E32" s="14" t="inlineStr">
        <is>
          <t>All</t>
        </is>
      </c>
      <c r="F32" s="15">
        <f>HYPERLINK("https://www.aliexpress.com/item/1744808992.html","POWGE")</f>
        <v/>
      </c>
      <c r="G32" s="16">
        <f>HYPERLINK("https://s.click.aliexpress.com/e/eA5u8X6Y","[Affiliate Link]")</f>
        <v/>
      </c>
      <c r="H32" s="14" t="n"/>
      <c r="I32" s="14" t="n"/>
      <c r="J32" s="14" t="n"/>
      <c r="K32" s="14" t="n"/>
      <c r="L32" s="14" t="n"/>
      <c r="M32" s="14" t="n"/>
      <c r="N32" s="14" t="n"/>
      <c r="O32" s="14" t="n"/>
      <c r="P32" s="14" t="n"/>
      <c r="Q32" s="14" t="n"/>
      <c r="R32" s="14" t="n"/>
      <c r="S32" s="14" t="n"/>
    </row>
    <row r="33">
      <c r="A33" s="14" t="inlineStr">
        <is>
          <t>Motion</t>
        </is>
      </c>
      <c r="B33" s="14" t="inlineStr">
        <is>
          <t>GT2 20T (9mm wide) Pulley (5mm bore)</t>
        </is>
      </c>
      <c r="C33" s="14" t="n"/>
      <c r="D33" s="14" t="inlineStr">
        <is>
          <t>4</t>
        </is>
      </c>
      <c r="E33" s="14" t="inlineStr">
        <is>
          <t>All</t>
        </is>
      </c>
      <c r="F33" s="15">
        <f>HYPERLINK("https://www.aliexpress.com/item/32650675929.html","POWGE")</f>
        <v/>
      </c>
      <c r="G33" s="16">
        <f>HYPERLINK("https://s.click.aliexpress.com/e/rsE0Y3Io","[Affiliate Link]")</f>
        <v/>
      </c>
      <c r="H33" s="14" t="n"/>
      <c r="I33" s="14" t="n"/>
      <c r="J33" s="14" t="n"/>
      <c r="K33" s="14" t="n"/>
      <c r="L33" s="14" t="n"/>
      <c r="M33" s="14" t="n"/>
      <c r="N33" s="14" t="n"/>
      <c r="O33" s="14" t="n"/>
      <c r="P33" s="14" t="n"/>
      <c r="Q33" s="14" t="n"/>
      <c r="R33" s="17" t="inlineStr">
        <is>
          <t>(10mm wide parts, such as the POWGE link are acceptable)</t>
        </is>
      </c>
      <c r="S33" s="14" t="n"/>
    </row>
    <row r="34">
      <c r="A34" s="14" t="inlineStr">
        <is>
          <t>Motion</t>
        </is>
      </c>
      <c r="B34" s="14" t="inlineStr">
        <is>
          <t>GT2 20T (6mm wide) Toothed Idler (5mm bore)</t>
        </is>
      </c>
      <c r="C34" s="14" t="n"/>
      <c r="D34" s="14" t="inlineStr">
        <is>
          <t>2</t>
        </is>
      </c>
      <c r="E34" s="14" t="inlineStr">
        <is>
          <t>All</t>
        </is>
      </c>
      <c r="F34" s="15">
        <f>HYPERLINK("https://www.aliexpress.com/item/32726309946.html","POWGE")</f>
        <v/>
      </c>
      <c r="G34" s="16">
        <f>HYPERLINK("https://s.click.aliexpress.com/e/_dVn7qSa","[Affiliate Link]")</f>
        <v/>
      </c>
      <c r="H34" s="16">
        <f>HYPERLINK("https://www.filastruder.com/products/gates-2gt-idler","Filastruder (US) [Gates]")</f>
        <v/>
      </c>
      <c r="I34" s="14" t="n"/>
      <c r="J34" s="14" t="n"/>
      <c r="K34" s="14" t="n"/>
      <c r="L34" s="14" t="n"/>
      <c r="M34" s="14" t="n"/>
      <c r="N34" s="14" t="n"/>
      <c r="O34" s="14" t="n"/>
      <c r="P34" s="14" t="n"/>
      <c r="Q34" s="14" t="n"/>
      <c r="R34" s="14" t="n"/>
      <c r="S34" s="18" t="inlineStr">
        <is>
          <t>some links were dead</t>
        </is>
      </c>
    </row>
    <row r="35">
      <c r="A35" s="14" t="inlineStr">
        <is>
          <t>Motion</t>
        </is>
      </c>
      <c r="B35" s="14" t="inlineStr">
        <is>
          <t>GT2 20T (9mm wide) Toothed Idler (5mm bore)</t>
        </is>
      </c>
      <c r="C35" s="14" t="n"/>
      <c r="D35" s="14" t="inlineStr">
        <is>
          <t>4</t>
        </is>
      </c>
      <c r="E35" s="14" t="inlineStr">
        <is>
          <t>All</t>
        </is>
      </c>
      <c r="F35" s="15">
        <f>HYPERLINK("https://www.aliexpress.com/item/32750492452.html","POWGE")</f>
        <v/>
      </c>
      <c r="G35" s="16">
        <f>HYPERLINK("https://s.click.aliexpress.com/e/_d7zEFkK","[Affiliate Link]")</f>
        <v/>
      </c>
      <c r="H35" s="16">
        <f>HYPERLINK("https://www.filastruder.com/products/gates-2gt-idler","Filastruder (US) [Gates]")</f>
        <v/>
      </c>
      <c r="I35" s="14" t="n"/>
      <c r="J35" s="14" t="n"/>
      <c r="K35" s="14" t="n"/>
      <c r="L35" s="14" t="n"/>
      <c r="M35" s="14" t="n"/>
      <c r="N35" s="14" t="n"/>
      <c r="O35" s="14" t="n"/>
      <c r="P35" s="14" t="n"/>
      <c r="Q35" s="14" t="n"/>
      <c r="R35" s="17" t="inlineStr">
        <is>
          <t>(10mm wide parts, such as the POWGE link are acceptable)</t>
        </is>
      </c>
      <c r="S35" s="18" t="inlineStr">
        <is>
          <t>some links were dead</t>
        </is>
      </c>
    </row>
    <row r="36">
      <c r="A36" s="14" t="inlineStr">
        <is>
          <t>Motion</t>
        </is>
      </c>
      <c r="B36" s="14" t="inlineStr">
        <is>
          <t>GT2 80T (6mm wide) Pulley (5mm bore)</t>
        </is>
      </c>
      <c r="C36" s="14" t="n"/>
      <c r="D36" s="14" t="inlineStr">
        <is>
          <t>4</t>
        </is>
      </c>
      <c r="E36" s="14" t="inlineStr">
        <is>
          <t>All</t>
        </is>
      </c>
      <c r="F36" s="15">
        <f>HYPERLINK("https://www.aliexpress.com/item/32782605159.html","POWGE")</f>
        <v/>
      </c>
      <c r="G36" s="16">
        <f>HYPERLINK("https://s.click.aliexpress.com/e/_dTml4KK","[Affiliate Link]")</f>
        <v/>
      </c>
      <c r="H36" s="14" t="n"/>
      <c r="I36" s="14" t="n"/>
      <c r="J36" s="14" t="n"/>
      <c r="K36" s="14" t="n"/>
      <c r="L36" s="14" t="n"/>
      <c r="M36" s="14" t="n"/>
      <c r="N36" s="14" t="n"/>
      <c r="O36" s="14" t="n"/>
      <c r="P36" s="14" t="n"/>
      <c r="Q36" s="14" t="n"/>
      <c r="R36" s="14" t="n"/>
      <c r="S36" s="14" t="n"/>
    </row>
    <row r="37">
      <c r="A37" s="14" t="inlineStr">
        <is>
          <t>Motion</t>
        </is>
      </c>
      <c r="B37" s="14" t="inlineStr">
        <is>
          <t>F695 2RS Bearing</t>
        </is>
      </c>
      <c r="C37" s="14" t="n"/>
      <c r="D37" s="14" t="inlineStr">
        <is>
          <t>20</t>
        </is>
      </c>
      <c r="E37" s="14" t="inlineStr">
        <is>
          <t>All</t>
        </is>
      </c>
      <c r="F37" s="15">
        <f>HYPERLINK("https://www.aliexpress.com/item/33001186278.html","RainDew")</f>
        <v/>
      </c>
      <c r="G37" s="16">
        <f>HYPERLINK("https://s.click.aliexpress.com/e/FhQBXGmc","[Affiliate Link]")</f>
        <v/>
      </c>
      <c r="H37" s="16">
        <f>HYPERLINK("https://www.aliexpress.com/item/32850989216.html","Fushi")</f>
        <v/>
      </c>
      <c r="I37" s="16">
        <f>HYPERLINK("https://s.click.aliexpress.com/e/Mv4uHJoM","[Affiliate Link]")</f>
        <v/>
      </c>
      <c r="J37" s="16">
        <f>HYPERLINK("https://s.click.aliexpress.com/e/FhQBXGmc","AliExpress")</f>
        <v/>
      </c>
      <c r="K37" s="14" t="n"/>
      <c r="L37" s="14" t="n"/>
      <c r="M37" s="14" t="n"/>
      <c r="N37" s="14" t="n"/>
      <c r="O37" s="14" t="n"/>
      <c r="P37" s="14" t="n"/>
      <c r="Q37" s="14" t="n"/>
      <c r="R37" s="14" t="n"/>
      <c r="S37" s="14" t="n"/>
    </row>
    <row r="38">
      <c r="A38" s="14" t="inlineStr">
        <is>
          <t>Motion</t>
        </is>
      </c>
      <c r="B38" s="14" t="inlineStr">
        <is>
          <t>625 2RS Bearing</t>
        </is>
      </c>
      <c r="C38" s="14" t="n"/>
      <c r="D38" s="14" t="inlineStr">
        <is>
          <t>12</t>
        </is>
      </c>
      <c r="E38" s="14" t="inlineStr">
        <is>
          <t>All</t>
        </is>
      </c>
      <c r="F38" s="15">
        <f>HYPERLINK("https://www.aliexpress.com/item/32991204773.html","RainDew")</f>
        <v/>
      </c>
      <c r="G38" s="16">
        <f>HYPERLINK("https://s.click.aliexpress.com/e/3slenRuM","[Affiliate Link]")</f>
        <v/>
      </c>
      <c r="H38" s="16">
        <f>HYPERLINK("https://www.aliexpress.com/item/32802288535.html","Fushi")</f>
        <v/>
      </c>
      <c r="I38" s="16">
        <f>HYPERLINK("https://s.click.aliexpress.com/e/nNRaugdw","[Affiliate Link]")</f>
        <v/>
      </c>
      <c r="J38" s="14" t="n"/>
      <c r="K38" s="14" t="n"/>
      <c r="L38" s="14" t="n"/>
      <c r="M38" s="14" t="n"/>
      <c r="N38" s="14" t="n"/>
      <c r="O38" s="14" t="n"/>
      <c r="P38" s="14" t="n"/>
      <c r="Q38" s="14" t="n"/>
      <c r="R38" s="14" t="n"/>
      <c r="S38" s="14" t="n"/>
    </row>
    <row r="39">
      <c r="A39" s="14" t="inlineStr">
        <is>
          <t>Motion</t>
        </is>
      </c>
      <c r="B39" s="14" t="inlineStr">
        <is>
          <t>5x60mm Shaft - Grind Flat</t>
        </is>
      </c>
      <c r="C39" s="14" t="n"/>
      <c r="D39" s="14" t="inlineStr">
        <is>
          <t>4</t>
        </is>
      </c>
      <c r="E39" s="14" t="inlineStr">
        <is>
          <t>All</t>
        </is>
      </c>
      <c r="F39" s="15">
        <f>HYPERLINK("https://www.aliexpress.com/item/1739093502.html","linkcnc")</f>
        <v/>
      </c>
      <c r="G39" s="16">
        <f>HYPERLINK("https://s.click.aliexpress.com/e/LquJdTx2","[Affiliate Link]")</f>
        <v/>
      </c>
      <c r="H39" s="14" t="n"/>
      <c r="I39" s="14" t="n"/>
      <c r="J39" s="14" t="n"/>
      <c r="K39" s="14" t="n"/>
      <c r="L39" s="14" t="n"/>
      <c r="M39" s="14" t="n"/>
      <c r="N39" s="14" t="n"/>
      <c r="O39" s="14" t="n"/>
      <c r="P39" s="14" t="n"/>
      <c r="Q39" s="14" t="n"/>
      <c r="R39" s="17" t="inlineStr">
        <is>
          <t>linkcnc will precut your shafts to specified lengths if you do not have cutting tools like a Dremel, you still need to make flats yourself</t>
        </is>
      </c>
      <c r="S39" s="14" t="n"/>
    </row>
    <row r="40">
      <c r="A40" s="14" t="inlineStr">
        <is>
          <t>Motion</t>
        </is>
      </c>
      <c r="B40" s="14" t="inlineStr">
        <is>
          <t>5x30mm Shaft</t>
        </is>
      </c>
      <c r="C40" s="14" t="n"/>
      <c r="D40" s="14" t="inlineStr">
        <is>
          <t>1</t>
        </is>
      </c>
      <c r="E40" s="14" t="inlineStr">
        <is>
          <t>All</t>
        </is>
      </c>
      <c r="F40" s="15">
        <f>HYPERLINK("https://www.aliexpress.com/item/1739093502.html","linkcnc")</f>
        <v/>
      </c>
      <c r="G40" s="16">
        <f>HYPERLINK("https://s.click.aliexpress.com/e/EKBTkxNm","[Affiliate Link]")</f>
        <v/>
      </c>
      <c r="H40" s="16">
        <f>HYPERLINK("https://www.aliexpress.com/item/32769265211.html","linkcnc")</f>
        <v/>
      </c>
      <c r="I40" s="16">
        <f>HYPERLINK("https://s.click.aliexpress.com/e/_A3ZXre","[Affiliate Link]")</f>
        <v/>
      </c>
      <c r="J40" s="14" t="n"/>
      <c r="K40" s="14" t="n"/>
      <c r="L40" s="14" t="n"/>
      <c r="M40" s="14" t="n"/>
      <c r="N40" s="14" t="n"/>
      <c r="O40" s="14" t="n"/>
      <c r="P40" s="14" t="n"/>
      <c r="Q40" s="14" t="n"/>
      <c r="R40" s="14" t="n"/>
      <c r="S40" s="14" t="n"/>
    </row>
    <row r="41">
      <c r="A41" s="14" t="inlineStr">
        <is>
          <t>Motion</t>
        </is>
      </c>
      <c r="B41" s="14" t="inlineStr">
        <is>
          <t>Linear Rail MGN9H ** See Configurator for length **</t>
        </is>
      </c>
      <c r="C41" s="14" t="n"/>
      <c r="D41" s="14" t="inlineStr">
        <is>
          <t>6</t>
        </is>
      </c>
      <c r="E41" s="14" t="inlineStr">
        <is>
          <t>250</t>
        </is>
      </c>
      <c r="F41" s="15">
        <f>HYPERLINK("https://www.aliexpress.com/item/32773296501.html","CNA")</f>
        <v/>
      </c>
      <c r="G41" s="14" t="n"/>
      <c r="H41" s="16">
        <f>HYPERLINK("https://www.robotdigg.com/product/1314/Black-anodized-linear-rail-7,-9,-12-and-15","RobotDigg (Black Stainless Rails)")</f>
        <v/>
      </c>
      <c r="I41" s="14" t="n"/>
      <c r="J41" s="16">
        <f>HYPERLINK("https://www.zyltech.com/zyltech-mgn9-linear-rail-with-single-or-double-carriage-block","Zyltech")</f>
        <v/>
      </c>
      <c r="K41" s="14" t="n"/>
      <c r="L41" s="14" t="n"/>
      <c r="M41" s="14" t="n"/>
      <c r="N41" s="14" t="n"/>
      <c r="O41" s="14" t="n"/>
      <c r="P41" s="14" t="n"/>
      <c r="Q41" s="14" t="n"/>
      <c r="R41" s="17" t="inlineStr">
        <is>
          <t>RobotDigg PN: GS_MGN9-1H-B300 pay attention to rail length vs build size, they are not the same / RobotDigg PN: GS_MGN9-1H-B350 pay attention to rail length vs build size, they are not the same / RobotDigg PN: GS_MGN9-1H-B400 pay attention to rail length vs build size, they are not the same</t>
        </is>
      </c>
      <c r="S41" s="14" t="n"/>
    </row>
    <row r="42">
      <c r="A42" s="14" t="inlineStr">
        <is>
          <t>Motion</t>
        </is>
      </c>
      <c r="B42" s="14" t="inlineStr">
        <is>
          <t>Linear Rail MGN9H ** See Configurator for length **</t>
        </is>
      </c>
      <c r="C42" s="14" t="n"/>
      <c r="D42" s="14" t="inlineStr">
        <is>
          <t>6</t>
        </is>
      </c>
      <c r="E42" s="14" t="inlineStr">
        <is>
          <t>300</t>
        </is>
      </c>
      <c r="F42" s="15">
        <f>HYPERLINK("https://www.aliexpress.com/item/32773296501.html","CNA")</f>
        <v/>
      </c>
      <c r="G42" s="14" t="n"/>
      <c r="H42" s="16">
        <f>HYPERLINK("https://www.robotdigg.com/product/1314/Black-anodized-linear-rail-7,-9,-12-and-15","RobotDigg (Black Stainless Rails)")</f>
        <v/>
      </c>
      <c r="I42" s="14" t="n"/>
      <c r="J42" s="16">
        <f>HYPERLINK("https://www.zyltech.com/zyltech-mgn9-linear-rail-with-single-or-double-carriage-block","Zyltech")</f>
        <v/>
      </c>
      <c r="K42" s="14" t="n"/>
      <c r="L42" s="14" t="n"/>
      <c r="M42" s="14" t="n"/>
      <c r="N42" s="14" t="n"/>
      <c r="O42" s="14" t="n"/>
      <c r="P42" s="14" t="n"/>
      <c r="Q42" s="14" t="n"/>
      <c r="R42" s="17" t="inlineStr">
        <is>
          <t>RobotDigg PN: GS_MGN9-1H-B300 pay attention to rail length vs build size, they are not the same / RobotDigg PN: GS_MGN9-1H-B350 pay attention to rail length vs build size, they are not the same / RobotDigg PN: GS_MGN9-1H-B400 pay attention to rail length vs build size, they are not the same</t>
        </is>
      </c>
      <c r="S42" s="14" t="n"/>
    </row>
    <row r="43">
      <c r="A43" s="14" t="inlineStr">
        <is>
          <t>Motion</t>
        </is>
      </c>
      <c r="B43" s="14" t="inlineStr">
        <is>
          <t>Linear Rail MGN9H ** See Configurator for length **</t>
        </is>
      </c>
      <c r="C43" s="14" t="n"/>
      <c r="D43" s="14" t="inlineStr">
        <is>
          <t>6</t>
        </is>
      </c>
      <c r="E43" s="14" t="inlineStr">
        <is>
          <t>350</t>
        </is>
      </c>
      <c r="F43" s="15">
        <f>HYPERLINK("https://www.aliexpress.com/item/32773296501.html","CNA")</f>
        <v/>
      </c>
      <c r="G43" s="14" t="n"/>
      <c r="H43" s="16">
        <f>HYPERLINK("https://www.robotdigg.com/product/1314/Black-anodized-linear-rail-7,-9,-12-and-15","RobotDigg (Black Stainless Rails)")</f>
        <v/>
      </c>
      <c r="I43" s="14" t="n"/>
      <c r="J43" s="16">
        <f>HYPERLINK("https://www.zyltech.com/zyltech-mgn9-linear-rail-with-single-or-double-carriage-block","Zyltech")</f>
        <v/>
      </c>
      <c r="K43" s="14" t="n"/>
      <c r="L43" s="14" t="n"/>
      <c r="M43" s="14" t="n"/>
      <c r="N43" s="14" t="n"/>
      <c r="O43" s="14" t="n"/>
      <c r="P43" s="14" t="n"/>
      <c r="Q43" s="14" t="n"/>
      <c r="R43" s="17" t="inlineStr">
        <is>
          <t>RobotDigg PN: GS_MGN9-1H-B300 pay attention to rail length vs build size, they are not the same / RobotDigg PN: GS_MGN9-1H-B350 pay attention to rail length vs build size, they are not the same / RobotDigg PN: GS_MGN9-1H-B400 pay attention to rail length vs build size, they are not the same</t>
        </is>
      </c>
      <c r="S43" s="14" t="n"/>
    </row>
    <row r="44">
      <c r="A44" s="14" t="inlineStr">
        <is>
          <t>Motion</t>
        </is>
      </c>
      <c r="B44" s="14" t="inlineStr">
        <is>
          <t>Linear Rail MGN12H ** See Configurator for length **</t>
        </is>
      </c>
      <c r="C44" s="14" t="n"/>
      <c r="D44" s="14" t="inlineStr">
        <is>
          <t>1</t>
        </is>
      </c>
      <c r="E44" s="14" t="inlineStr">
        <is>
          <t>250</t>
        </is>
      </c>
      <c r="F44" s="15">
        <f>HYPERLINK("https://www.aliexpress.com/item/32829826159.html","CNA")</f>
        <v/>
      </c>
      <c r="G44" s="14" t="n"/>
      <c r="H44" s="16">
        <f>HYPERLINK("https://www.robotdigg.com/product/1314/Black-anodized-linear-rail-7,-9,-12-and-15","RobotDigg (Black Stainless Rails)")</f>
        <v/>
      </c>
      <c r="I44" s="14" t="n"/>
      <c r="J44" s="16">
        <f>HYPERLINK("https://www.zyltech.com/zyltech-mgn12-h-type-linear-rail-with-single-or-double-carriage-block","Zyltech")</f>
        <v/>
      </c>
      <c r="K44" s="14" t="n"/>
      <c r="L44" s="16">
        <f>HYPERLINK("https://www.aliexpress.com/item/2251832643511407.html","CNA")</f>
        <v/>
      </c>
      <c r="M44" s="14" t="n"/>
      <c r="N44" s="16">
        <f>HYPERLINK("https://docs.ldomotors.com/en/voron/LDO_Voron_Distributors","LDO")</f>
        <v/>
      </c>
      <c r="O44" s="14" t="n"/>
      <c r="P44" s="14" t="n"/>
      <c r="Q44" s="14" t="n"/>
      <c r="R44" s="17" t="inlineStr">
        <is>
          <t>RobotDigg PN: GS_MGN12-1H-B300 pay attention to rail length vs build size, they are not the same / RobotDigg PN: GS_MGN12-1H-B350 pay attention to rail length vs build size, they are not the same / RobotDigg PN: GS_MGN12-1H-B400 pay attention to rail length vs build size, they are not the same</t>
        </is>
      </c>
      <c r="S44" s="14" t="n"/>
    </row>
    <row r="45">
      <c r="A45" s="14" t="inlineStr">
        <is>
          <t>Motion</t>
        </is>
      </c>
      <c r="B45" s="14" t="inlineStr">
        <is>
          <t>Linear Rail MGN12H ** See Configurator for length **</t>
        </is>
      </c>
      <c r="C45" s="14" t="n"/>
      <c r="D45" s="14" t="inlineStr">
        <is>
          <t>1</t>
        </is>
      </c>
      <c r="E45" s="14" t="inlineStr">
        <is>
          <t>300</t>
        </is>
      </c>
      <c r="F45" s="15">
        <f>HYPERLINK("https://www.aliexpress.com/item/32829826159.html","CNA")</f>
        <v/>
      </c>
      <c r="G45" s="14" t="n"/>
      <c r="H45" s="16">
        <f>HYPERLINK("https://www.robotdigg.com/product/1314/Black-anodized-linear-rail-7,-9,-12-and-15","RobotDigg (Black Stainless Rails)")</f>
        <v/>
      </c>
      <c r="I45" s="14" t="n"/>
      <c r="J45" s="16">
        <f>HYPERLINK("https://www.zyltech.com/zyltech-mgn12-h-type-linear-rail-with-single-or-double-carriage-block","Zyltech")</f>
        <v/>
      </c>
      <c r="K45" s="14" t="n"/>
      <c r="L45" s="16">
        <f>HYPERLINK("https://www.aliexpress.com/item/2251832643511407.html","CNA")</f>
        <v/>
      </c>
      <c r="M45" s="14" t="n"/>
      <c r="N45" s="16">
        <f>HYPERLINK("https://docs.ldomotors.com/en/voron/LDO_Voron_Distributors","LDO")</f>
        <v/>
      </c>
      <c r="O45" s="14" t="n"/>
      <c r="P45" s="14" t="n"/>
      <c r="Q45" s="14" t="n"/>
      <c r="R45" s="17" t="inlineStr">
        <is>
          <t>RobotDigg PN: GS_MGN12-1H-B300 pay attention to rail length vs build size, they are not the same / RobotDigg PN: GS_MGN12-1H-B350 pay attention to rail length vs build size, they are not the same / RobotDigg PN: GS_MGN12-1H-B400 pay attention to rail length vs build size, they are not the same</t>
        </is>
      </c>
      <c r="S45" s="14" t="n"/>
    </row>
    <row r="46">
      <c r="A46" s="14" t="inlineStr">
        <is>
          <t>Motion</t>
        </is>
      </c>
      <c r="B46" s="14" t="inlineStr">
        <is>
          <t>Linear Rail MGN12H ** See Configurator for length **</t>
        </is>
      </c>
      <c r="C46" s="14" t="n"/>
      <c r="D46" s="14" t="inlineStr">
        <is>
          <t>1</t>
        </is>
      </c>
      <c r="E46" s="14" t="inlineStr">
        <is>
          <t>350</t>
        </is>
      </c>
      <c r="F46" s="15">
        <f>HYPERLINK("https://www.aliexpress.com/item/32829826159.html","CNA")</f>
        <v/>
      </c>
      <c r="G46" s="14" t="n"/>
      <c r="H46" s="16">
        <f>HYPERLINK("https://www.robotdigg.com/product/1314/Black-anodized-linear-rail-7,-9,-12-and-15","RobotDigg (Black Stainless Rails)")</f>
        <v/>
      </c>
      <c r="I46" s="14" t="n"/>
      <c r="J46" s="16">
        <f>HYPERLINK("https://www.zyltech.com/zyltech-mgn12-h-type-linear-rail-with-single-or-double-carriage-block","Zyltech")</f>
        <v/>
      </c>
      <c r="K46" s="14" t="n"/>
      <c r="L46" s="16">
        <f>HYPERLINK("https://www.aliexpress.com/item/2251832643511407.html","CNA")</f>
        <v/>
      </c>
      <c r="M46" s="14" t="n"/>
      <c r="N46" s="16">
        <f>HYPERLINK("https://docs.ldomotors.com/en/voron/LDO_Voron_Distributors","LDO")</f>
        <v/>
      </c>
      <c r="O46" s="14" t="n"/>
      <c r="P46" s="14" t="n"/>
      <c r="Q46" s="14" t="n"/>
      <c r="R46" s="17" t="inlineStr">
        <is>
          <t>RobotDigg PN: GS_MGN12-1H-B300 pay attention to rail length vs build size, they are not the same / RobotDigg PN: GS_MGN12-1H-B350 pay attention to rail length vs build size, they are not the same / RobotDigg PN: GS_MGN12-1H-B400 pay attention to rail length vs build size, they are not the same</t>
        </is>
      </c>
      <c r="S46" s="14" t="n"/>
    </row>
    <row r="47">
      <c r="A47" s="19" t="inlineStr">
        <is>
          <t>Vibration Management</t>
        </is>
      </c>
      <c r="B47" s="19" t="inlineStr">
        <is>
          <t>Rubber Compressor Foot</t>
        </is>
      </c>
      <c r="C47" s="19" t="n"/>
      <c r="D47" s="19" t="inlineStr">
        <is>
          <t>4</t>
        </is>
      </c>
      <c r="E47" s="19" t="inlineStr">
        <is>
          <t>All</t>
        </is>
      </c>
      <c r="F47" s="20">
        <f>HYPERLINK("https://www.amazon.com/dp/B0711Y6T56","Amazon")</f>
        <v/>
      </c>
      <c r="G47" s="21">
        <f>HYPERLINK("https://amzn.to/2TqJkWS","[Affiliate Link]")</f>
        <v/>
      </c>
      <c r="H47" s="21">
        <f>HYPERLINK("https://www.aliexpress.com/item/32990144547.html","AliExpress")</f>
        <v/>
      </c>
      <c r="I47" s="21">
        <f>HYPERLINK("https://s.click.aliexpress.com/e/_d78yoQO","[Affiliate Link]")</f>
        <v/>
      </c>
      <c r="J47" s="19" t="n"/>
      <c r="K47" s="19" t="n"/>
      <c r="L47" s="19" t="n"/>
      <c r="M47" s="19" t="n"/>
      <c r="N47" s="19" t="n"/>
      <c r="O47" s="19" t="n"/>
      <c r="P47" s="19" t="n"/>
      <c r="Q47" s="19" t="n"/>
      <c r="R47" s="22" t="inlineStr">
        <is>
          <t>Comes and goes in stock from Amazon</t>
        </is>
      </c>
      <c r="S47" s="23" t="inlineStr">
        <is>
          <t>some links were dead</t>
        </is>
      </c>
    </row>
    <row r="48">
      <c r="A48" s="24" t="inlineStr">
        <is>
          <t>Electronics</t>
        </is>
      </c>
      <c r="B48" s="24" t="inlineStr">
        <is>
          <t>Omron Mouse Button - Micro Switch</t>
        </is>
      </c>
      <c r="C48" s="24" t="n"/>
      <c r="D48" s="24" t="inlineStr">
        <is>
          <t>3</t>
        </is>
      </c>
      <c r="E48" s="24" t="inlineStr">
        <is>
          <t>All</t>
        </is>
      </c>
      <c r="F48" s="25">
        <f>HYPERLINK("https://www.digikey.com/product-detail/en/omron-electronics-inc-emc-div/D2F-5L/Z8846-ND/8593137","Digikey")</f>
        <v/>
      </c>
      <c r="G48" s="24" t="n"/>
      <c r="H48" s="26">
        <f>HYPERLINK("https://www.digikey.com/en/products/detail/omron-electronics-inc-emc-div/D2F-01L/83264","Digikey")</f>
        <v/>
      </c>
      <c r="I48" s="24" t="n"/>
      <c r="J48" s="26">
        <f>HYPERLINK("https://www.digikey.com/product-detail/en/omron-electronics-inc-emc-div/D2F-5/Z8845-ND/8593136","Digikey")</f>
        <v/>
      </c>
      <c r="K48" s="24" t="n"/>
      <c r="L48" s="24" t="n"/>
      <c r="M48" s="24" t="n"/>
      <c r="N48" s="24" t="n"/>
      <c r="O48" s="24" t="n"/>
      <c r="P48" s="24" t="n"/>
      <c r="Q48" s="24" t="n"/>
      <c r="R48" s="24" t="n"/>
      <c r="S48" s="24" t="n"/>
    </row>
    <row r="49">
      <c r="A49" s="24" t="inlineStr">
        <is>
          <t>Electronics</t>
        </is>
      </c>
      <c r="B49" s="24" t="inlineStr">
        <is>
          <t>Inductive Probe</t>
        </is>
      </c>
      <c r="C49" s="24" t="n"/>
      <c r="D49" s="24" t="inlineStr">
        <is>
          <t>1</t>
        </is>
      </c>
      <c r="E49" s="24" t="inlineStr">
        <is>
          <t>All</t>
        </is>
      </c>
      <c r="F49" s="25">
        <f>HYPERLINK("https://www.aliexpress.com/item/2251832663198775.html","Aliexpress - TL-Q5MC2-Z")</f>
        <v/>
      </c>
      <c r="G49" s="26">
        <f>HYPERLINK("https://s.click.aliexpress.com/e/_DlxY7KJ","[Affiliate Link]")</f>
        <v/>
      </c>
      <c r="H49" s="26">
        <f>HYPERLINK("https://www.digikey.com/en/products/detail/panasonic-industrial-automation-sales/GX-HL15B/3896951","Digkey - GX-HL15B")</f>
        <v/>
      </c>
      <c r="I49" s="24" t="n"/>
      <c r="J49" s="26">
        <f>HYPERLINK("https://www.digikey.com/en/products/detail/omron-automation-and-safety/tl-q5mc2/2669828","Digikey - TL-Q5MC2")</f>
        <v/>
      </c>
      <c r="K49" s="24" t="n"/>
      <c r="L49" s="24" t="n"/>
      <c r="M49" s="24" t="n"/>
      <c r="N49" s="24" t="n"/>
      <c r="O49" s="24" t="n"/>
      <c r="P49" s="24" t="n"/>
      <c r="Q49" s="24" t="n"/>
      <c r="R49" s="27" t="inlineStr">
        <is>
          <t>Note: As of the 2.4R2 release, the PL08N/PL05N family probes are no longer supported</t>
        </is>
      </c>
      <c r="S49" s="24" t="n"/>
    </row>
    <row r="50">
      <c r="A50" s="24" t="inlineStr">
        <is>
          <t>Electronics</t>
        </is>
      </c>
      <c r="B50" s="24" t="inlineStr">
        <is>
          <t>BAT85 Diode</t>
        </is>
      </c>
      <c r="C50" s="24" t="n"/>
      <c r="D50" s="24" t="inlineStr">
        <is>
          <t>1</t>
        </is>
      </c>
      <c r="E50" s="24" t="inlineStr">
        <is>
          <t>All</t>
        </is>
      </c>
      <c r="F50" s="25">
        <f>HYPERLINK("https://www.digikey.com/product-detail/en/BAT85S-TR/BAT85SCT-ND/3104371","DigiKey")</f>
        <v/>
      </c>
      <c r="G50" s="24" t="n"/>
      <c r="H50" s="24" t="n"/>
      <c r="I50" s="24" t="n"/>
      <c r="J50" s="24" t="n"/>
      <c r="K50" s="24" t="n"/>
      <c r="L50" s="24" t="n"/>
      <c r="M50" s="24" t="n"/>
      <c r="N50" s="24" t="n"/>
      <c r="O50" s="24" t="n"/>
      <c r="P50" s="24" t="n"/>
      <c r="Q50" s="24" t="n"/>
      <c r="R50" s="27" t="inlineStr">
        <is>
          <t>You do not want to get this part from an Ali vendor as quality can be suspect. If these sources are not available in your area, please ask in a regional channel on Discord or search a local electronics store.</t>
        </is>
      </c>
      <c r="S50" s="24" t="n"/>
    </row>
    <row r="51">
      <c r="A51" s="24" t="inlineStr">
        <is>
          <t>Electronics</t>
        </is>
      </c>
      <c r="B51" s="24" t="inlineStr">
        <is>
          <t>Omron G3NA-210B-DC5 (10A) or Crydom D2425 (25A) or Crydom 84134000 (10A) SSR</t>
        </is>
      </c>
      <c r="C51" s="24" t="n"/>
      <c r="D51" s="24" t="inlineStr">
        <is>
          <t>1</t>
        </is>
      </c>
      <c r="E51" s="24" t="inlineStr">
        <is>
          <t>All</t>
        </is>
      </c>
      <c r="F51" s="25">
        <f>HYPERLINK("https://www.digikey.com/en/products/detail/omron-automation-and-safety/G3NA-210B-UTU-DC5-24/634443","Digikey (Omron)")</f>
        <v/>
      </c>
      <c r="G51" s="24" t="n"/>
      <c r="H51" s="26">
        <f>HYPERLINK("https://www.digikey.com/products/en","Digikey (Omron)")</f>
        <v/>
      </c>
      <c r="I51" s="24" t="n"/>
      <c r="J51" s="26">
        <f>HYPERLINK("https://www.digikey.com/en/products/detail/panasonic-electric-works/AQA211VL/2364682","Digikey (Panasonic)")</f>
        <v/>
      </c>
      <c r="K51" s="24" t="n"/>
      <c r="L51" s="26">
        <f>HYPERLINK("https://www.digikey.com/product-detail/en/sensata-crydom/D2425/CC1006-ND/139477","Digikey (Crydom 25A)")</f>
        <v/>
      </c>
      <c r="M51" s="24" t="n"/>
      <c r="N51" s="26">
        <f>HYPERLINK("https://www.digikey.com/product-detail/en/sensata-crydom/84134000/646-1227-ND/1816787","Digikey (Crydom 10A)")</f>
        <v/>
      </c>
      <c r="O51" s="24" t="n"/>
      <c r="P51" s="26">
        <f>HYPERLINK("https://www.filastruder.com/products/solid-state-relay?_pos=1&amp;_sid=f58b74679&amp;_ss=r","Filastruder (Panasonic)")</f>
        <v/>
      </c>
      <c r="Q51" s="24" t="n"/>
      <c r="R51" s="27" t="inlineStr">
        <is>
          <t>Crydom (2nd Link, also valid alternative), UTU PN just adds TUV support as a certification to the relay (Omron Only)</t>
        </is>
      </c>
      <c r="S51" s="24" t="n"/>
    </row>
    <row r="52">
      <c r="A52" s="24" t="inlineStr">
        <is>
          <t>Electronics</t>
        </is>
      </c>
      <c r="B52" s="24" t="inlineStr">
        <is>
          <t>NEMA17 Motor 17HS19-2004S</t>
        </is>
      </c>
      <c r="C52" s="24" t="n"/>
      <c r="D52" s="24" t="inlineStr">
        <is>
          <t>6</t>
        </is>
      </c>
      <c r="E52" s="24" t="inlineStr">
        <is>
          <t>All</t>
        </is>
      </c>
      <c r="F52" s="25">
        <f>HYPERLINK("https://www.omc-stepperonline.com/nema-17-bipolar-59ncm-84oz-in-2a-42x48mm-4-wires-w-1m-cable-and-connector.html","Stepper Online")</f>
        <v/>
      </c>
      <c r="G52" s="24" t="n"/>
      <c r="H52" s="26">
        <f>HYPERLINK("https://www.omc-stepperonline.com/nema-17-bipolare-59ncm-84oz-in-2a-42x48mm-4fili-w-1m-cable-and-connector.html","Stepper Online")</f>
        <v/>
      </c>
      <c r="I52" s="24" t="n"/>
      <c r="J52" s="26">
        <f>HYPERLINK("https://www.aliexpress.com/item/32589488227.html","Stepper Online")</f>
        <v/>
      </c>
      <c r="K52" s="26">
        <f>HYPERLINK("https://s.click.aliexpress.com/e/5E5huNIu","[Affiliate Link]")</f>
        <v/>
      </c>
      <c r="L52" s="26">
        <f>HYPERLINK("https://www.amazon.com/dp/B00PNEQKC0","Amazon")</f>
        <v/>
      </c>
      <c r="M52" s="26">
        <f>HYPERLINK("https://amzn.to/325amWA","[Affiliate Link]")</f>
        <v/>
      </c>
      <c r="N52" s="26">
        <f>HYPERLINK("https://www.aliexpress.com/item/32572890101.html","Stepper Online")</f>
        <v/>
      </c>
      <c r="O52" s="26">
        <f>HYPERLINK("https://s.click.aliexpress.com/e/_9J8aJa","[Affiliate Link]")</f>
        <v/>
      </c>
      <c r="P52" s="26">
        <f>HYPERLINK("https://docs.ldomotors.com/en/voron/LDO_Voron_Distributors","LDO")</f>
        <v/>
      </c>
      <c r="Q52" s="24" t="n"/>
      <c r="R52" s="27" t="inlineStr">
        <is>
          <t>Strongly advise buying the specific steppers to reduce the chance of underperformance</t>
        </is>
      </c>
      <c r="S52" s="24" t="n"/>
    </row>
    <row r="53">
      <c r="A53" s="24" t="inlineStr">
        <is>
          <t>Electronics</t>
        </is>
      </c>
      <c r="B53" s="24" t="inlineStr">
        <is>
          <t>Mean Well LRS-200-24 PSU</t>
        </is>
      </c>
      <c r="C53" s="24" t="n"/>
      <c r="D53" s="24" t="inlineStr">
        <is>
          <t>1</t>
        </is>
      </c>
      <c r="E53" s="24" t="inlineStr">
        <is>
          <t>All</t>
        </is>
      </c>
      <c r="F53" s="25">
        <f>HYPERLINK("https://www.digikey.com/products/en","Digikey")</f>
        <v/>
      </c>
      <c r="G53" s="24" t="n"/>
      <c r="H53" s="24" t="n"/>
      <c r="I53" s="24" t="n"/>
      <c r="J53" s="24" t="n"/>
      <c r="K53" s="24" t="n"/>
      <c r="L53" s="24" t="n"/>
      <c r="M53" s="24" t="n"/>
      <c r="N53" s="24" t="n"/>
      <c r="O53" s="24" t="n"/>
      <c r="P53" s="24" t="n"/>
      <c r="Q53" s="24" t="n"/>
      <c r="R53" s="27" t="inlineStr">
        <is>
          <t>Do not cheap out on this. Get a legitimate MeanWell PSU. Higher wattage is not necessary since the bed is mains powered. Higher wattage also comes with a fan which adds to the noise. For regions that mandate PFC use the MeanWell RSP-200-24 instead of the LRS-200-24.</t>
        </is>
      </c>
      <c r="S53" s="24" t="n"/>
    </row>
    <row r="54">
      <c r="A54" s="24" t="inlineStr">
        <is>
          <t>Electronics</t>
        </is>
      </c>
      <c r="B54" s="24" t="inlineStr">
        <is>
          <t>Meanwell RS-25-5 PSU</t>
        </is>
      </c>
      <c r="C54" s="24" t="n"/>
      <c r="D54" s="24" t="inlineStr">
        <is>
          <t>1</t>
        </is>
      </c>
      <c r="E54" s="24" t="inlineStr">
        <is>
          <t>All</t>
        </is>
      </c>
      <c r="F54" s="25">
        <f>HYPERLINK("https://www.digikey.com/product-detail/en/mean-well-usa-inc/RS-25-5/1866-4145-ND/7706180","Digikey")</f>
        <v/>
      </c>
      <c r="G54" s="24" t="n"/>
      <c r="H54" s="24" t="n"/>
      <c r="I54" s="24" t="n"/>
      <c r="J54" s="24" t="n"/>
      <c r="K54" s="24" t="n"/>
      <c r="L54" s="24" t="n"/>
      <c r="M54" s="24" t="n"/>
      <c r="N54" s="24" t="n"/>
      <c r="O54" s="24" t="n"/>
      <c r="P54" s="24" t="n"/>
      <c r="Q54" s="24" t="n"/>
      <c r="R54" s="27" t="inlineStr">
        <is>
          <t>Do not cheap out on this. Get a legitimate MeanWell PSU.</t>
        </is>
      </c>
      <c r="S54" s="24" t="n"/>
    </row>
    <row r="55">
      <c r="A55" s="24" t="inlineStr">
        <is>
          <t>Electronics</t>
        </is>
      </c>
      <c r="B55" s="24" t="inlineStr">
        <is>
          <t>ZF - Rocker Switches DPST 16A ON-OFF</t>
        </is>
      </c>
      <c r="C55" s="24" t="n"/>
      <c r="D55" s="24" t="inlineStr">
        <is>
          <t>1</t>
        </is>
      </c>
      <c r="E55" s="24" t="inlineStr">
        <is>
          <t>All</t>
        </is>
      </c>
      <c r="F55" s="25">
        <f>HYPERLINK("https://www.digikey.com/products/en","Digikey (no Light)")</f>
        <v/>
      </c>
      <c r="G55" s="24" t="n"/>
      <c r="H55" s="26">
        <f>HYPERLINK("https://www.mouser.com/ProductDetail/ZF/WRG32F2BBRLN?qs=%2Fha2pyFadugTPgk3aI89ZNgIRYXUDJ2iew%252BR%252BPzJE%2FSagvnd6sid0w%3D%3D","Mouser (Red Light)")</f>
        <v/>
      </c>
      <c r="I55" s="24" t="n"/>
      <c r="J55" s="24" t="n"/>
      <c r="K55" s="24" t="n"/>
      <c r="L55" s="24" t="n"/>
      <c r="M55" s="24" t="n"/>
      <c r="N55" s="24" t="n"/>
      <c r="O55" s="24" t="n"/>
      <c r="P55" s="24" t="n"/>
      <c r="Q55" s="24" t="n"/>
      <c r="R55" s="27" t="inlineStr">
        <is>
          <t>Note the Mouser (Red Light) only has a 125v indicator in it. For 220/240 countries use the no light model</t>
        </is>
      </c>
      <c r="S55" s="24" t="n"/>
    </row>
    <row r="56">
      <c r="A56" s="24" t="inlineStr">
        <is>
          <t>Electronics</t>
        </is>
      </c>
      <c r="B56" s="24" t="inlineStr">
        <is>
          <t>Fuse Medium Time Delay Acting 8A 250V Holder Cartridge 5 X 20mm Glass</t>
        </is>
      </c>
      <c r="C56" s="24" t="n"/>
      <c r="D56" s="24" t="inlineStr">
        <is>
          <t>2</t>
        </is>
      </c>
      <c r="E56" s="24" t="inlineStr">
        <is>
          <t>All</t>
        </is>
      </c>
      <c r="F56" s="25">
        <f>HYPERLINK("https://www.digikey.com/products/en","Digikey")</f>
        <v/>
      </c>
      <c r="G56" s="24" t="n"/>
      <c r="H56" s="24" t="n"/>
      <c r="I56" s="24" t="n"/>
      <c r="J56" s="24" t="n"/>
      <c r="K56" s="24" t="n"/>
      <c r="L56" s="24" t="n"/>
      <c r="M56" s="24" t="n"/>
      <c r="N56" s="24" t="n"/>
      <c r="O56" s="24" t="n"/>
      <c r="P56" s="24" t="n"/>
      <c r="Q56" s="24" t="n"/>
      <c r="R56" s="27" t="inlineStr">
        <is>
          <t>For areas with 120V mains systems.</t>
        </is>
      </c>
      <c r="S56" s="24" t="n"/>
    </row>
    <row r="57">
      <c r="A57" s="24" t="inlineStr">
        <is>
          <t>Electronics</t>
        </is>
      </c>
      <c r="B57" s="24" t="inlineStr">
        <is>
          <t>Fuse Medium Time Delay Acting 4A 250V Holder Cartridge 5 X 20mm Glass</t>
        </is>
      </c>
      <c r="C57" s="24" t="n"/>
      <c r="D57" s="24" t="inlineStr">
        <is>
          <t>2</t>
        </is>
      </c>
      <c r="E57" s="24" t="inlineStr">
        <is>
          <t>All</t>
        </is>
      </c>
      <c r="F57" s="25">
        <f>HYPERLINK("https://www.digikey.com/en/products/detail/littelfuse-inc/0232004-MXP/778023","Digikey")</f>
        <v/>
      </c>
      <c r="G57" s="24" t="n"/>
      <c r="H57" s="24" t="n"/>
      <c r="I57" s="24" t="n"/>
      <c r="J57" s="24" t="n"/>
      <c r="K57" s="24" t="n"/>
      <c r="L57" s="24" t="n"/>
      <c r="M57" s="24" t="n"/>
      <c r="N57" s="24" t="n"/>
      <c r="O57" s="24" t="n"/>
      <c r="P57" s="24" t="n"/>
      <c r="Q57" s="24" t="n"/>
      <c r="R57" s="27" t="inlineStr">
        <is>
          <t>For areas with 220V mains systems. Digikey can be expensive for EU customers, and this part can often be found cheaper at a local hardware or automotive store.</t>
        </is>
      </c>
      <c r="S57" s="24" t="n"/>
    </row>
    <row r="58">
      <c r="A58" s="24" t="inlineStr">
        <is>
          <t>Electronics</t>
        </is>
      </c>
      <c r="B58" s="24" t="inlineStr">
        <is>
          <t>TycoElectronics - 10EGG1-2 (Normal) or 10EHG1-2 (Medical): Filtered Power Inlet</t>
        </is>
      </c>
      <c r="C58" s="24" t="n"/>
      <c r="D58" s="24" t="inlineStr">
        <is>
          <t>1</t>
        </is>
      </c>
      <c r="E58" s="24" t="inlineStr">
        <is>
          <t>All</t>
        </is>
      </c>
      <c r="F58" s="25">
        <f>HYPERLINK("https://www.digikey.com/products/en","Digikey")</f>
        <v/>
      </c>
      <c r="G58" s="24" t="n"/>
      <c r="H58" s="26">
        <f>HYPERLINK("https://www.mouser.com/ProductDetail/TE-Connectivity-PB/10EGG1-2?qs=vcjNRp8H9z2nhEkRL4AXYw%3D%3D","Mouser")</f>
        <v/>
      </c>
      <c r="I58" s="24" t="n"/>
      <c r="J58" s="24" t="n"/>
      <c r="K58" s="24" t="n"/>
      <c r="L58" s="24" t="n"/>
      <c r="M58" s="24" t="n"/>
      <c r="N58" s="24" t="n"/>
      <c r="O58" s="24" t="n"/>
      <c r="P58" s="24" t="n"/>
      <c r="Q58" s="24" t="n"/>
      <c r="R58" s="27" t="inlineStr">
        <is>
          <t>For European dual-fuse builds</t>
        </is>
      </c>
      <c r="S58" s="24" t="n"/>
    </row>
    <row r="59">
      <c r="A59" s="24" t="inlineStr">
        <is>
          <t>Electronics</t>
        </is>
      </c>
      <c r="B59" s="24" t="inlineStr">
        <is>
          <t>TycoElectronics - 10EGG1-1 (Normal) or 10EHG1-1 (Medical): Filtered Power Inlet</t>
        </is>
      </c>
      <c r="C59" s="24" t="n"/>
      <c r="D59" s="24" t="inlineStr">
        <is>
          <t>1</t>
        </is>
      </c>
      <c r="E59" s="24" t="inlineStr">
        <is>
          <t>All</t>
        </is>
      </c>
      <c r="F59" s="25">
        <f>HYPERLINK("https://www.digikey.com/en/products/detail/te-connectivity-corcom-filters/3-1609115-4/2032295","Digikey")</f>
        <v/>
      </c>
      <c r="G59" s="24" t="n"/>
      <c r="H59" s="26">
        <f>HYPERLINK("https://www.mouser.com/ProductDetail/TE-Connectivity-PB/10EGG1-1?qs=vcjNRp8H9z1CsIf%2F5OknUw%3D%3D","Mouser")</f>
        <v/>
      </c>
      <c r="I59" s="24" t="n"/>
      <c r="J59" s="24" t="n"/>
      <c r="K59" s="24" t="n"/>
      <c r="L59" s="24" t="n"/>
      <c r="M59" s="24" t="n"/>
      <c r="N59" s="24" t="n"/>
      <c r="O59" s="24" t="n"/>
      <c r="P59" s="24" t="n"/>
      <c r="Q59" s="24" t="n"/>
      <c r="R59" s="27" t="inlineStr">
        <is>
          <t>For North American &amp; UK single-fuse builds</t>
        </is>
      </c>
      <c r="S59" s="24" t="n"/>
    </row>
    <row r="60">
      <c r="A60" s="24" t="inlineStr">
        <is>
          <t>Electronics</t>
        </is>
      </c>
      <c r="B60" s="24" t="inlineStr">
        <is>
          <t>IEC320 C14 Inlet - Push-fit - w/ Rocker Switch &amp; Fuse</t>
        </is>
      </c>
      <c r="C60" s="24" t="n"/>
      <c r="D60" s="24" t="inlineStr">
        <is>
          <t>1</t>
        </is>
      </c>
      <c r="E60" s="24" t="inlineStr">
        <is>
          <t>All</t>
        </is>
      </c>
      <c r="F60" s="25">
        <f>HYPERLINK("https://www.digikey.com/en/products/detail/adam-tech/IEC-GS-1-100/9831135","See note for PiF Digikey")</f>
        <v/>
      </c>
      <c r="G60" s="24" t="n"/>
      <c r="H60" s="24" t="n"/>
      <c r="I60" s="24" t="n"/>
      <c r="J60" s="24" t="n"/>
      <c r="K60" s="24" t="n"/>
      <c r="L60" s="24" t="n"/>
      <c r="M60" s="24" t="n"/>
      <c r="N60" s="24" t="n"/>
      <c r="O60" s="24" t="n"/>
      <c r="P60" s="24" t="n"/>
      <c r="Q60" s="24" t="n"/>
      <c r="R60" s="27" t="inlineStr">
        <is>
          <t>If you are getting PiF parts you will need the filtered inlet and switch</t>
        </is>
      </c>
      <c r="S60" s="24" t="n"/>
    </row>
    <row r="61">
      <c r="A61" s="24" t="inlineStr">
        <is>
          <t>Electronics</t>
        </is>
      </c>
      <c r="B61" s="24" t="inlineStr">
        <is>
          <t>40x40x10 Axial Fan - Ball Bearing (24V)</t>
        </is>
      </c>
      <c r="C61" s="24" t="n"/>
      <c r="D61" s="24" t="inlineStr">
        <is>
          <t>1</t>
        </is>
      </c>
      <c r="E61" s="24" t="inlineStr">
        <is>
          <t>All</t>
        </is>
      </c>
      <c r="F61" s="25">
        <f>HYPERLINK("https://www.aliexpress.com/item/32868163248.html","Aliexpress")</f>
        <v/>
      </c>
      <c r="G61" s="26">
        <f>HYPERLINK("https://s.click.aliexpress.com/e/_AUbIY8","[Affiliate Link]")</f>
        <v/>
      </c>
      <c r="H61" s="26">
        <f>HYPERLINK("https://www.aliexpress.com/item/32726640438.html","GDSTIME")</f>
        <v/>
      </c>
      <c r="I61" s="26">
        <f>HYPERLINK("https://s.click.aliexpress.com/e/_d8MBoAW","[Affiliate Link]")</f>
        <v/>
      </c>
      <c r="J61" s="26">
        <f>HYPERLINK("https://www.aliexpress.com/item/32727867521.html","GDSTIME (Aliexpress)")</f>
        <v/>
      </c>
      <c r="K61" s="26">
        <f>HYPERLINK("https://s.click.aliexpress.com/e/_d8MBoAW","[Affiliate Link]")</f>
        <v/>
      </c>
      <c r="L61" s="26">
        <f>HYPERLINK("https://www.amazon.com/dp/B07DB5H6K1","Amazon")</f>
        <v/>
      </c>
      <c r="M61" s="24" t="n"/>
      <c r="N61" s="26">
        <f>HYPERLINK("https://s.click.aliexpress.com/e/_d8MBoAW","AliExpress")</f>
        <v/>
      </c>
      <c r="O61" s="24" t="n"/>
      <c r="P61" s="24" t="n"/>
      <c r="Q61" s="24" t="n"/>
      <c r="R61" s="27" t="inlineStr">
        <is>
          <t>Delta or Sunon are preferred brands</t>
        </is>
      </c>
      <c r="S61" s="24" t="n"/>
    </row>
    <row r="62">
      <c r="A62" s="24" t="inlineStr">
        <is>
          <t>Electronics</t>
        </is>
      </c>
      <c r="B62" s="24" t="inlineStr">
        <is>
          <t>40x40x20 Centrifugal Blower Fan - Ball Bearing (24V)</t>
        </is>
      </c>
      <c r="C62" s="24" t="n"/>
      <c r="D62" s="24" t="inlineStr">
        <is>
          <t>1</t>
        </is>
      </c>
      <c r="E62" s="24" t="inlineStr">
        <is>
          <t>All</t>
        </is>
      </c>
      <c r="F62" s="25">
        <f>HYPERLINK("https://www.aliexpress.com/item/1005001464730686.html","GDSTIME")</f>
        <v/>
      </c>
      <c r="G62" s="26">
        <f>HYPERLINK("https://s.click.aliexpress.com/e/_dZ3Fq0i","[Affiliate Link]")</f>
        <v/>
      </c>
      <c r="H62" s="26">
        <f>HYPERLINK("https://www.aliexpress.com/item/32867138904.html","Aliexpress")</f>
        <v/>
      </c>
      <c r="I62" s="24" t="n"/>
      <c r="J62" s="26">
        <f>HYPERLINK("https://www.amazon.com/dp/B07L2YH79Y","Amazon")</f>
        <v/>
      </c>
      <c r="K62" s="24" t="n"/>
      <c r="L62" s="26">
        <f>HYPERLINK("https://www.amazon.com/dp/B07L2XZKS7","Amazon")</f>
        <v/>
      </c>
      <c r="M62" s="24" t="n"/>
      <c r="N62" s="26">
        <f>HYPERLINK("https://s.click.aliexpress.com/e/_dZ3Fq0i","AliExpress")</f>
        <v/>
      </c>
      <c r="O62" s="24" t="n"/>
      <c r="P62" s="24" t="n"/>
      <c r="Q62" s="24" t="n"/>
      <c r="R62" s="24" t="n"/>
      <c r="S62" s="24" t="n"/>
    </row>
    <row r="63">
      <c r="A63" s="24" t="inlineStr">
        <is>
          <t>Electronics</t>
        </is>
      </c>
      <c r="B63" s="24" t="inlineStr">
        <is>
          <t>60x60x20 Axial Fan (24V)</t>
        </is>
      </c>
      <c r="C63" s="24" t="n"/>
      <c r="D63" s="24" t="inlineStr">
        <is>
          <t>3</t>
        </is>
      </c>
      <c r="E63" s="24" t="inlineStr">
        <is>
          <t>All</t>
        </is>
      </c>
      <c r="F63" s="25">
        <f>HYPERLINK("https://www.digikey.com/product-detail/en/orion-fans/OD6020-24HB/1053-1234-ND/2621139","DigiKey")</f>
        <v/>
      </c>
      <c r="G63" s="24" t="n"/>
      <c r="H63" s="26">
        <f>HYPERLINK("https://www.aliexpress.com/item/32899594270.html","GDSTIME")</f>
        <v/>
      </c>
      <c r="I63" s="26">
        <f>HYPERLINK("https://s.click.aliexpress.com/e/_d67FlLy","[Affiliate Link]")</f>
        <v/>
      </c>
      <c r="J63" s="24" t="n"/>
      <c r="K63" s="24" t="n"/>
      <c r="L63" s="24" t="n"/>
      <c r="M63" s="24" t="n"/>
      <c r="N63" s="24" t="n"/>
      <c r="O63" s="24" t="n"/>
      <c r="P63" s="24" t="n"/>
      <c r="Q63" s="24" t="n"/>
      <c r="R63" s="24" t="n"/>
      <c r="S63" s="28" t="inlineStr">
        <is>
          <t>some links were dead</t>
        </is>
      </c>
    </row>
    <row r="64">
      <c r="A64" s="24" t="inlineStr">
        <is>
          <t>Electronics</t>
        </is>
      </c>
      <c r="B64" s="24" t="inlineStr">
        <is>
          <t>Thermal Fuse</t>
        </is>
      </c>
      <c r="C64" s="24" t="n"/>
      <c r="D64" s="24" t="inlineStr">
        <is>
          <t>1</t>
        </is>
      </c>
      <c r="E64" s="24" t="inlineStr">
        <is>
          <t>All</t>
        </is>
      </c>
      <c r="F64" s="24" t="n"/>
      <c r="G64" s="24" t="n"/>
      <c r="H64" s="24" t="n"/>
      <c r="I64" s="24" t="n"/>
      <c r="J64" s="24" t="n"/>
      <c r="K64" s="24" t="n"/>
      <c r="L64" s="24" t="n"/>
      <c r="M64" s="24" t="n"/>
      <c r="N64" s="24" t="n"/>
      <c r="O64" s="24" t="n"/>
      <c r="P64" s="24" t="n"/>
      <c r="Q64" s="24" t="n"/>
      <c r="R64" s="27" t="inlineStr">
        <is>
          <t>Buy a 130C thermal cutoff, you want the fuse to blow before the heater falls off the bed</t>
        </is>
      </c>
      <c r="S64" s="28" t="inlineStr">
        <is>
          <t>all links were dead</t>
        </is>
      </c>
    </row>
    <row r="65">
      <c r="A65" s="24" t="inlineStr">
        <is>
          <t>Electronics</t>
        </is>
      </c>
      <c r="B65" s="24" t="inlineStr">
        <is>
          <t>DIN Rail</t>
        </is>
      </c>
      <c r="C65" s="24" t="n"/>
      <c r="D65" s="24" t="inlineStr">
        <is>
          <t>1</t>
        </is>
      </c>
      <c r="E65" s="24" t="inlineStr">
        <is>
          <t>All</t>
        </is>
      </c>
      <c r="F65" s="25">
        <f>HYPERLINK("https://www.digikey.com/en/products/detail/idec/BAA1000/8344276","Digikey")</f>
        <v/>
      </c>
      <c r="G65" s="24" t="n"/>
      <c r="H65" s="24" t="n"/>
      <c r="I65" s="24" t="n"/>
      <c r="J65" s="24" t="n"/>
      <c r="K65" s="24" t="n"/>
      <c r="L65" s="24" t="n"/>
      <c r="M65" s="24" t="n"/>
      <c r="N65" s="24" t="n"/>
      <c r="O65" s="24" t="n"/>
      <c r="P65" s="24" t="n"/>
      <c r="Q65" s="24" t="n"/>
      <c r="R65" s="27" t="inlineStr">
        <is>
          <t>This is best sourced locally</t>
        </is>
      </c>
      <c r="S65" s="24" t="n"/>
    </row>
    <row r="66">
      <c r="A66" s="5" t="inlineStr">
        <is>
          <t>Controller</t>
        </is>
      </c>
      <c r="B66" s="5" t="inlineStr">
        <is>
          <t>RaspberryPi4</t>
        </is>
      </c>
      <c r="C66" s="5" t="n"/>
      <c r="D66" s="5" t="inlineStr">
        <is>
          <t>1</t>
        </is>
      </c>
      <c r="E66" s="5" t="inlineStr">
        <is>
          <t>All</t>
        </is>
      </c>
      <c r="F66" s="6">
        <f>HYPERLINK("https://www.amazon.com/dp/B07TD42S27","Amazon")</f>
        <v/>
      </c>
      <c r="G66" s="5" t="n"/>
      <c r="H66" s="5" t="n"/>
      <c r="I66" s="5" t="n"/>
      <c r="J66" s="5" t="n"/>
      <c r="K66" s="5" t="n"/>
      <c r="L66" s="5" t="n"/>
      <c r="M66" s="5" t="n"/>
      <c r="N66" s="5" t="n"/>
      <c r="O66" s="5" t="n"/>
      <c r="P66" s="5" t="n"/>
      <c r="Q66" s="5" t="n"/>
      <c r="R66" s="5" t="n"/>
      <c r="S66" s="29" t="inlineStr">
        <is>
          <t>all links were dead</t>
        </is>
      </c>
    </row>
    <row r="67">
      <c r="A67" s="5" t="inlineStr">
        <is>
          <t>Controller</t>
        </is>
      </c>
      <c r="B67" s="5" t="inlineStr">
        <is>
          <t>MicroSD Card</t>
        </is>
      </c>
      <c r="C67" s="5" t="n"/>
      <c r="D67" s="5" t="inlineStr">
        <is>
          <t>1</t>
        </is>
      </c>
      <c r="E67" s="5" t="inlineStr">
        <is>
          <t>All</t>
        </is>
      </c>
      <c r="F67" s="6">
        <f>HYPERLINK("https://www.amazon.com/dp/B073JYVKNX","Amazon (64gb)")</f>
        <v/>
      </c>
      <c r="G67" s="5" t="n"/>
      <c r="H67" s="7">
        <f>HYPERLINK("https://www.amazon.com/dp/B0749KG1JK","Amazon (32gb)")</f>
        <v/>
      </c>
      <c r="I67" s="5" t="n"/>
      <c r="J67" s="7">
        <f>HYPERLINK("https://amzn.to/2PDYXWX","Amazon")</f>
        <v/>
      </c>
      <c r="K67" s="5" t="n"/>
      <c r="L67" s="5" t="n"/>
      <c r="M67" s="5" t="n"/>
      <c r="N67" s="5" t="n"/>
      <c r="O67" s="5" t="n"/>
      <c r="P67" s="5" t="n"/>
      <c r="Q67" s="5" t="n"/>
      <c r="R67" s="5" t="n"/>
      <c r="S67" s="5" t="n"/>
    </row>
    <row r="68">
      <c r="A68" s="5" t="inlineStr">
        <is>
          <t>Controller</t>
        </is>
      </c>
      <c r="B68" s="5" t="inlineStr">
        <is>
          <t>USB C Power Cable</t>
        </is>
      </c>
      <c r="C68" s="5" t="n"/>
      <c r="D68" s="5" t="inlineStr">
        <is>
          <t>1</t>
        </is>
      </c>
      <c r="E68" s="5" t="inlineStr">
        <is>
          <t>All</t>
        </is>
      </c>
      <c r="F68" s="6">
        <f>HYPERLINK("https://www.amazon.com/dp/B01GGKYKQM","Amazon")</f>
        <v/>
      </c>
      <c r="G68" s="5" t="n"/>
      <c r="H68" s="5" t="n"/>
      <c r="I68" s="5" t="n"/>
      <c r="J68" s="5" t="n"/>
      <c r="K68" s="5" t="n"/>
      <c r="L68" s="5" t="n"/>
      <c r="M68" s="5" t="n"/>
      <c r="N68" s="5" t="n"/>
      <c r="O68" s="5" t="n"/>
      <c r="P68" s="5" t="n"/>
      <c r="Q68" s="5" t="n"/>
      <c r="R68" s="8" t="inlineStr">
        <is>
          <t>to get power from the RS-25-5 to the Pi, you can use a spare from around the house</t>
        </is>
      </c>
      <c r="S68" s="5" t="n"/>
    </row>
    <row r="69">
      <c r="A69" s="5" t="inlineStr">
        <is>
          <t>Controller</t>
        </is>
      </c>
      <c r="B69" s="5" t="inlineStr">
        <is>
          <t>SKR 1.4</t>
        </is>
      </c>
      <c r="C69" s="5" t="n"/>
      <c r="D69" s="5" t="inlineStr">
        <is>
          <t>2</t>
        </is>
      </c>
      <c r="E69" s="5" t="inlineStr">
        <is>
          <t>All</t>
        </is>
      </c>
      <c r="F69" s="6">
        <f>HYPERLINK("https://www.aliexpress.com/item/4000470048293.html","BIGTREETECH")</f>
        <v/>
      </c>
      <c r="G69" s="5" t="n"/>
      <c r="H69" s="5" t="n"/>
      <c r="I69" s="5" t="n"/>
      <c r="J69" s="5" t="n"/>
      <c r="K69" s="5" t="n"/>
      <c r="L69" s="5" t="n"/>
      <c r="M69" s="5" t="n"/>
      <c r="N69" s="5" t="n"/>
      <c r="O69" s="5" t="n"/>
      <c r="P69" s="5" t="n"/>
      <c r="Q69" s="5" t="n"/>
      <c r="R69" s="5" t="n"/>
      <c r="S69" s="29" t="inlineStr">
        <is>
          <t>some links were dead</t>
        </is>
      </c>
    </row>
    <row r="70">
      <c r="A70" s="5" t="inlineStr">
        <is>
          <t>Controller</t>
        </is>
      </c>
      <c r="B70" s="5" t="inlineStr">
        <is>
          <t>TMC 2209 Drivers</t>
        </is>
      </c>
      <c r="C70" s="5" t="n"/>
      <c r="D70" s="5" t="inlineStr">
        <is>
          <t>7</t>
        </is>
      </c>
      <c r="E70" s="5" t="inlineStr">
        <is>
          <t>All</t>
        </is>
      </c>
      <c r="F70" s="6">
        <f>HYPERLINK("https://www.aliexpress.com/item/33029587820.html","BIGTREETECH")</f>
        <v/>
      </c>
      <c r="G70" s="7">
        <f>HYPERLINK("https://s.click.aliexpress.com/e/_dUlA1Bk","[Affiliate Link]")</f>
        <v/>
      </c>
      <c r="H70" s="7">
        <f>HYPERLINK("https://www.aliexpress.com/item/4000206288948.html","Aliexpress")</f>
        <v/>
      </c>
      <c r="I70" s="7">
        <f>HYPERLINK("https://s.click.aliexpress.com/e/38lTe6y0","[Affiliate Link]")</f>
        <v/>
      </c>
      <c r="J70" s="7">
        <f>HYPERLINK("https://www.aliexpress.com/item/33047241001.html","Just the Drivers (TMC 2209)")</f>
        <v/>
      </c>
      <c r="K70" s="7">
        <f>HYPERLINK("https://s.click.aliexpress.com/e/_dW2vIwt","[Affiliate Link]")</f>
        <v/>
      </c>
      <c r="L70" s="5" t="n"/>
      <c r="M70" s="5" t="n"/>
      <c r="N70" s="5" t="n"/>
      <c r="O70" s="5" t="n"/>
      <c r="P70" s="5" t="n"/>
      <c r="Q70" s="5" t="n"/>
      <c r="R70" s="5" t="n"/>
      <c r="S70" s="29" t="inlineStr">
        <is>
          <t>some links were dead</t>
        </is>
      </c>
    </row>
    <row r="71">
      <c r="A71" s="5" t="inlineStr">
        <is>
          <t>Controller</t>
        </is>
      </c>
      <c r="B71" s="5" t="inlineStr">
        <is>
          <t>USB Cable A-male B-male</t>
        </is>
      </c>
      <c r="C71" s="5" t="n"/>
      <c r="D71" s="5" t="inlineStr">
        <is>
          <t>2</t>
        </is>
      </c>
      <c r="E71" s="5" t="inlineStr">
        <is>
          <t>All</t>
        </is>
      </c>
      <c r="F71" s="5" t="n"/>
      <c r="G71" s="5" t="n"/>
      <c r="H71" s="5" t="n"/>
      <c r="I71" s="5" t="n"/>
      <c r="J71" s="5" t="n"/>
      <c r="K71" s="5" t="n"/>
      <c r="L71" s="5" t="n"/>
      <c r="M71" s="5" t="n"/>
      <c r="N71" s="5" t="n"/>
      <c r="O71" s="5" t="n"/>
      <c r="P71" s="5" t="n"/>
      <c r="Q71" s="5" t="n"/>
      <c r="R71" s="8" t="inlineStr">
        <is>
          <t>Most SKR kits come with a cable so this part is likely unnecessary as a separate purchase. Double check your purchase history.</t>
        </is>
      </c>
      <c r="S71" s="5" t="n"/>
    </row>
    <row r="72">
      <c r="A72" s="5" t="inlineStr">
        <is>
          <t>Controller</t>
        </is>
      </c>
      <c r="B72" s="5" t="inlineStr">
        <is>
          <t>Mini 12864 Display (Type B)</t>
        </is>
      </c>
      <c r="C72" s="5" t="n"/>
      <c r="D72" s="5" t="inlineStr">
        <is>
          <t>1</t>
        </is>
      </c>
      <c r="E72" s="5" t="inlineStr">
        <is>
          <t>All</t>
        </is>
      </c>
      <c r="F72" s="6">
        <f>HYPERLINK("https://www.aliexpress.com/item/32980210325.html","Fysetc")</f>
        <v/>
      </c>
      <c r="G72" s="7">
        <f>HYPERLINK("https://s.click.aliexpress.com/e/_d7ByDeP","[Affiliate Link]")</f>
        <v/>
      </c>
      <c r="H72" s="7">
        <f>HYPERLINK("https://s.click.aliexpress.com/e/_d7ByDeP","AliExpress")</f>
        <v/>
      </c>
      <c r="I72" s="5" t="n"/>
      <c r="J72" s="5" t="n"/>
      <c r="K72" s="5" t="n"/>
      <c r="L72" s="5" t="n"/>
      <c r="M72" s="5" t="n"/>
      <c r="N72" s="5" t="n"/>
      <c r="O72" s="5" t="n"/>
      <c r="P72" s="5" t="n"/>
      <c r="Q72" s="5" t="n"/>
      <c r="R72" s="5" t="n"/>
      <c r="S72" s="5" t="n"/>
    </row>
    <row r="73">
      <c r="A73" s="30" t="inlineStr">
        <is>
          <t>Frame</t>
        </is>
      </c>
      <c r="B73" s="30" t="inlineStr">
        <is>
          <t>OpenBuilds Angle Corner Connector</t>
        </is>
      </c>
      <c r="C73" s="30" t="n"/>
      <c r="D73" s="30" t="inlineStr">
        <is>
          <t>4</t>
        </is>
      </c>
      <c r="E73" s="30" t="inlineStr">
        <is>
          <t>All</t>
        </is>
      </c>
      <c r="F73" s="30" t="n"/>
      <c r="G73" s="30" t="n"/>
      <c r="H73" s="30" t="n"/>
      <c r="I73" s="30" t="n"/>
      <c r="J73" s="30" t="n"/>
      <c r="K73" s="30" t="n"/>
      <c r="L73" s="30" t="n"/>
      <c r="M73" s="30" t="n"/>
      <c r="N73" s="30" t="n"/>
      <c r="O73" s="30" t="n"/>
      <c r="P73" s="30" t="n"/>
      <c r="Q73" s="30" t="n"/>
      <c r="R73" s="30" t="n"/>
      <c r="S73" s="31" t="inlineStr">
        <is>
          <t>all links were dead</t>
        </is>
      </c>
    </row>
    <row r="74">
      <c r="A74" s="30" t="inlineStr">
        <is>
          <t>Frame</t>
        </is>
      </c>
      <c r="B74" s="30" t="inlineStr">
        <is>
          <t>Misumi HFSB5-2020 (Size depends - use configurator)</t>
        </is>
      </c>
      <c r="C74" s="30" t="n"/>
      <c r="D74" s="30" t="inlineStr">
        <is>
          <t>18</t>
        </is>
      </c>
      <c r="E74" s="30" t="inlineStr">
        <is>
          <t>250</t>
        </is>
      </c>
      <c r="F74" s="32">
        <f>HYPERLINK("https://us.misumi-ec.com/vona2/detail/110302683830?Inch=0","Misumi")</f>
        <v/>
      </c>
      <c r="G74" s="30" t="n"/>
      <c r="H74" s="33">
        <f>HYPERLINK("https://docs.ldomotors.com/en/voron/LDO_Voron_Distributors","LDO")</f>
        <v/>
      </c>
      <c r="I74" s="30" t="n"/>
      <c r="J74" s="30" t="n"/>
      <c r="K74" s="30" t="n"/>
      <c r="L74" s="30" t="n"/>
      <c r="M74" s="30" t="n"/>
      <c r="N74" s="30" t="n"/>
      <c r="O74" s="30" t="n"/>
      <c r="P74" s="30" t="n"/>
      <c r="Q74" s="30" t="n"/>
      <c r="R74" s="34" t="inlineStr">
        <is>
          <t>You can order 'silver' extrustions from Misumi by replacing the HFSB5 at the begining of the part number with HFS5</t>
        </is>
      </c>
      <c r="S74" s="30" t="n"/>
    </row>
    <row r="75">
      <c r="A75" s="30" t="inlineStr">
        <is>
          <t>Frame</t>
        </is>
      </c>
      <c r="B75" s="30" t="inlineStr">
        <is>
          <t>Misumi HFSB5-2020 (Size depends - use configurator)</t>
        </is>
      </c>
      <c r="C75" s="30" t="n"/>
      <c r="D75" s="30" t="inlineStr">
        <is>
          <t>18</t>
        </is>
      </c>
      <c r="E75" s="30" t="inlineStr">
        <is>
          <t>300</t>
        </is>
      </c>
      <c r="F75" s="32">
        <f>HYPERLINK("https://us.misumi-ec.com/vona2/detail/110302683830?Inch=0","Misumi")</f>
        <v/>
      </c>
      <c r="G75" s="30" t="n"/>
      <c r="H75" s="33">
        <f>HYPERLINK("https://docs.ldomotors.com/en/voron/LDO_Voron_Distributors","LDO")</f>
        <v/>
      </c>
      <c r="I75" s="30" t="n"/>
      <c r="J75" s="30" t="n"/>
      <c r="K75" s="30" t="n"/>
      <c r="L75" s="30" t="n"/>
      <c r="M75" s="30" t="n"/>
      <c r="N75" s="30" t="n"/>
      <c r="O75" s="30" t="n"/>
      <c r="P75" s="30" t="n"/>
      <c r="Q75" s="30" t="n"/>
      <c r="R75" s="34" t="inlineStr">
        <is>
          <t>You can order 'silver' extrustions from Misumi by replacing the HFSB5 at the begining of the part number with HFS5</t>
        </is>
      </c>
      <c r="S75" s="30" t="n"/>
    </row>
    <row r="76">
      <c r="A76" s="30" t="inlineStr">
        <is>
          <t>Frame</t>
        </is>
      </c>
      <c r="B76" s="30" t="inlineStr">
        <is>
          <t>Misumi HFSB5-2020 (Size depends - use configurator)</t>
        </is>
      </c>
      <c r="C76" s="30" t="n"/>
      <c r="D76" s="30" t="inlineStr">
        <is>
          <t>18</t>
        </is>
      </c>
      <c r="E76" s="30" t="inlineStr">
        <is>
          <t>350</t>
        </is>
      </c>
      <c r="F76" s="32">
        <f>HYPERLINK("https://us.misumi-ec.com/vona2/detail/110302683830?Inch=0","Misumi")</f>
        <v/>
      </c>
      <c r="G76" s="30" t="n"/>
      <c r="H76" s="33">
        <f>HYPERLINK("https://docs.ldomotors.com/en/voron/LDO_Voron_Distributors","LDO")</f>
        <v/>
      </c>
      <c r="I76" s="30" t="n"/>
      <c r="J76" s="30" t="n"/>
      <c r="K76" s="30" t="n"/>
      <c r="L76" s="30" t="n"/>
      <c r="M76" s="30" t="n"/>
      <c r="N76" s="30" t="n"/>
      <c r="O76" s="30" t="n"/>
      <c r="P76" s="30" t="n"/>
      <c r="Q76" s="30" t="n"/>
      <c r="R76" s="34" t="inlineStr">
        <is>
          <t>You can order 'silver' extrustions from Misumi by replacing the HFSB5 at the begining of the part number with HFS5</t>
        </is>
      </c>
      <c r="S76" s="30" t="n"/>
    </row>
    <row r="77">
      <c r="A77" s="35" t="inlineStr">
        <is>
          <t>Misc</t>
        </is>
      </c>
      <c r="B77" s="35" t="inlineStr">
        <is>
          <t>Bowden Tube (4mm OD, ID depends on extruder type)</t>
        </is>
      </c>
      <c r="C77" s="35" t="n"/>
      <c r="D77" s="35" t="inlineStr">
        <is>
          <t>3m</t>
        </is>
      </c>
      <c r="E77" s="35" t="inlineStr">
        <is>
          <t>All</t>
        </is>
      </c>
      <c r="F77" s="36">
        <f>HYPERLINK("https://www.aliexpress.com/item/1005001408141263.html","Aliexpress")</f>
        <v/>
      </c>
      <c r="G77" s="35" t="n"/>
      <c r="H77" s="35" t="n"/>
      <c r="I77" s="35" t="n"/>
      <c r="J77" s="35" t="n"/>
      <c r="K77" s="35" t="n"/>
      <c r="L77" s="35" t="n"/>
      <c r="M77" s="35" t="n"/>
      <c r="N77" s="35" t="n"/>
      <c r="O77" s="35" t="n"/>
      <c r="P77" s="35" t="n"/>
      <c r="Q77" s="35" t="n"/>
      <c r="R77" s="37" t="inlineStr">
        <is>
          <t>4mm OD, 2mm ID, get 10m of the first supplier, its cheap and is a wear item</t>
        </is>
      </c>
      <c r="S77" s="38" t="inlineStr">
        <is>
          <t>some links were dead</t>
        </is>
      </c>
    </row>
    <row r="78">
      <c r="A78" s="35" t="inlineStr">
        <is>
          <t>Misc</t>
        </is>
      </c>
      <c r="B78" s="35" t="inlineStr">
        <is>
          <t>6mm x 3mm Round Neodymium Magnets</t>
        </is>
      </c>
      <c r="C78" s="35" t="n"/>
      <c r="D78" s="35" t="inlineStr">
        <is>
          <t>8</t>
        </is>
      </c>
      <c r="E78" s="35" t="inlineStr">
        <is>
          <t>All</t>
        </is>
      </c>
      <c r="F78" s="35" t="n"/>
      <c r="G78" s="35" t="n"/>
      <c r="H78" s="35" t="n"/>
      <c r="I78" s="35" t="n"/>
      <c r="J78" s="35" t="n"/>
      <c r="K78" s="35" t="n"/>
      <c r="L78" s="35" t="n"/>
      <c r="M78" s="35" t="n"/>
      <c r="N78" s="35" t="n"/>
      <c r="O78" s="35" t="n"/>
      <c r="P78" s="35" t="n"/>
      <c r="Q78" s="35" t="n"/>
      <c r="R78" s="37" t="inlineStr">
        <is>
          <t>Magnets for the front door</t>
        </is>
      </c>
      <c r="S78" s="38" t="inlineStr">
        <is>
          <t>all links were dead</t>
        </is>
      </c>
    </row>
    <row r="79">
      <c r="A79" s="35" t="inlineStr">
        <is>
          <t>Misc</t>
        </is>
      </c>
      <c r="B79" s="35" t="inlineStr">
        <is>
          <t>Bowden Coupler (for 4mm OD tube)</t>
        </is>
      </c>
      <c r="C79" s="35" t="n"/>
      <c r="D79" s="35" t="inlineStr">
        <is>
          <t>1</t>
        </is>
      </c>
      <c r="E79" s="35" t="inlineStr">
        <is>
          <t>All</t>
        </is>
      </c>
      <c r="F79" s="36">
        <f>HYPERLINK("https://www.mcmaster.com/5449K171/","McMaster-Carr")</f>
        <v/>
      </c>
      <c r="G79" s="35" t="n"/>
      <c r="H79" s="35" t="n"/>
      <c r="I79" s="35" t="n"/>
      <c r="J79" s="35" t="n"/>
      <c r="K79" s="35" t="n"/>
      <c r="L79" s="35" t="n"/>
      <c r="M79" s="35" t="n"/>
      <c r="N79" s="35" t="n"/>
      <c r="O79" s="35" t="n"/>
      <c r="P79" s="35" t="n"/>
      <c r="Q79" s="35" t="n"/>
      <c r="R79" s="35" t="n"/>
      <c r="S79" s="38" t="inlineStr">
        <is>
          <t>some links were dead</t>
        </is>
      </c>
    </row>
    <row r="80">
      <c r="A80" s="35" t="inlineStr">
        <is>
          <t>Misc</t>
        </is>
      </c>
      <c r="B80" s="35" t="inlineStr">
        <is>
          <t>Foam Panel Tape (5mm wide/3mm thick)</t>
        </is>
      </c>
      <c r="C80" s="35" t="n"/>
      <c r="D80" s="35" t="inlineStr">
        <is>
          <t>7m</t>
        </is>
      </c>
      <c r="E80" s="35" t="inlineStr">
        <is>
          <t>All</t>
        </is>
      </c>
      <c r="F80" s="36">
        <f>HYPERLINK("https://www.aliexpress.com/item/32885016096.html","Aliexpress")</f>
        <v/>
      </c>
      <c r="G80" s="39">
        <f>HYPERLINK("https://s.click.aliexpress.com/e/KQxWUrx6","[Affiliate Link]")</f>
        <v/>
      </c>
      <c r="H80" s="35" t="n"/>
      <c r="I80" s="35" t="n"/>
      <c r="J80" s="35" t="n"/>
      <c r="K80" s="35" t="n"/>
      <c r="L80" s="35" t="n"/>
      <c r="M80" s="35" t="n"/>
      <c r="N80" s="35" t="n"/>
      <c r="O80" s="35" t="n"/>
      <c r="P80" s="35" t="n"/>
      <c r="Q80" s="35" t="n"/>
      <c r="R80" s="35" t="n"/>
      <c r="S80" s="35" t="n"/>
    </row>
    <row r="81">
      <c r="A81" s="35" t="inlineStr">
        <is>
          <t>Misc</t>
        </is>
      </c>
      <c r="B81" s="35" t="inlineStr">
        <is>
          <t>BMG Extruder Hardware Kit (if configured with direct feed)</t>
        </is>
      </c>
      <c r="C81" s="35" t="n"/>
      <c r="D81" s="35" t="inlineStr">
        <is>
          <t>1</t>
        </is>
      </c>
      <c r="E81" s="35" t="inlineStr">
        <is>
          <t>All</t>
        </is>
      </c>
      <c r="F81" s="36">
        <f>HYPERLINK("https://www.aliexpress.com/item/4000021186440.html","Aliexpress (TL)")</f>
        <v/>
      </c>
      <c r="G81" s="39">
        <f>HYPERLINK("https://s.click.aliexpress.com/e/_Alji4k","[Affiliate Link]")</f>
        <v/>
      </c>
      <c r="H81" s="39">
        <f>HYPERLINK("https://s.click.aliexpress.com/e/_Alji4k","AliExpress")</f>
        <v/>
      </c>
      <c r="I81" s="35" t="n"/>
      <c r="J81" s="35" t="n"/>
      <c r="K81" s="35" t="n"/>
      <c r="L81" s="35" t="n"/>
      <c r="M81" s="35" t="n"/>
      <c r="N81" s="35" t="n"/>
      <c r="O81" s="35" t="n"/>
      <c r="P81" s="35" t="n"/>
      <c r="Q81" s="35" t="n"/>
      <c r="R81" s="35" t="n"/>
      <c r="S81" s="35" t="n"/>
    </row>
    <row r="82">
      <c r="A82" s="40" t="inlineStr">
        <is>
          <t>Cables</t>
        </is>
      </c>
      <c r="B82" s="40" t="inlineStr">
        <is>
          <t>Fork Spade Terminal</t>
        </is>
      </c>
      <c r="C82" s="40" t="n"/>
      <c r="D82" s="40" t="inlineStr">
        <is>
          <t>15</t>
        </is>
      </c>
      <c r="E82" s="40" t="inlineStr">
        <is>
          <t>All</t>
        </is>
      </c>
      <c r="F82" s="41">
        <f>HYPERLINK("https://www.digikey.com/products/en","Digikey")</f>
        <v/>
      </c>
      <c r="G82" s="40" t="n"/>
      <c r="H82" s="40" t="n"/>
      <c r="I82" s="40" t="n"/>
      <c r="J82" s="40" t="n"/>
      <c r="K82" s="40" t="n"/>
      <c r="L82" s="40" t="n"/>
      <c r="M82" s="40" t="n"/>
      <c r="N82" s="40" t="n"/>
      <c r="O82" s="40" t="n"/>
      <c r="P82" s="40" t="n"/>
      <c r="Q82" s="40" t="n"/>
      <c r="R82" s="42" t="inlineStr">
        <is>
          <t>for power supply and SSR</t>
        </is>
      </c>
      <c r="S82" s="40" t="n"/>
    </row>
    <row r="83">
      <c r="A83" s="40" t="inlineStr">
        <is>
          <t>Cables</t>
        </is>
      </c>
      <c r="B83" s="40" t="inlineStr">
        <is>
          <t>Insulated Crimp Receptical</t>
        </is>
      </c>
      <c r="C83" s="40" t="n"/>
      <c r="D83" s="40" t="inlineStr">
        <is>
          <t>10</t>
        </is>
      </c>
      <c r="E83" s="40" t="inlineStr">
        <is>
          <t>All</t>
        </is>
      </c>
      <c r="F83" s="41">
        <f>HYPERLINK("https://www.digikey.com/products/en","Digikey")</f>
        <v/>
      </c>
      <c r="G83" s="40" t="n"/>
      <c r="H83" s="43">
        <f>HYPERLINK("https://www.digikey.com/product-detail/en/te-connectivity-amp-connectors/2-520181-2/A27804TR-ND/289246","Digikey")</f>
        <v/>
      </c>
      <c r="I83" s="40" t="n"/>
      <c r="J83" s="40" t="n"/>
      <c r="K83" s="40" t="n"/>
      <c r="L83" s="40" t="n"/>
      <c r="M83" s="40" t="n"/>
      <c r="N83" s="40" t="n"/>
      <c r="O83" s="40" t="n"/>
      <c r="P83" s="40" t="n"/>
      <c r="Q83" s="40" t="n"/>
      <c r="R83" s="42" t="inlineStr">
        <is>
          <t>for Power Inlet (6.35mm)</t>
        </is>
      </c>
      <c r="S83" s="40" t="n"/>
    </row>
    <row r="84">
      <c r="A84" s="40" t="inlineStr">
        <is>
          <t>Cables</t>
        </is>
      </c>
      <c r="B84" s="40" t="inlineStr">
        <is>
          <t>Nylon Cable Ties 4"</t>
        </is>
      </c>
      <c r="C84" s="40" t="n"/>
      <c r="D84" s="40" t="inlineStr">
        <is>
          <t>100</t>
        </is>
      </c>
      <c r="E84" s="40" t="inlineStr">
        <is>
          <t>All</t>
        </is>
      </c>
      <c r="F84" s="41">
        <f>HYPERLINK("https://amzn.to/2mzoRjl","Amazon")</f>
        <v/>
      </c>
      <c r="G84" s="40" t="n"/>
      <c r="H84" s="40" t="n"/>
      <c r="I84" s="40" t="n"/>
      <c r="J84" s="40" t="n"/>
      <c r="K84" s="40" t="n"/>
      <c r="L84" s="40" t="n"/>
      <c r="M84" s="40" t="n"/>
      <c r="N84" s="40" t="n"/>
      <c r="O84" s="40" t="n"/>
      <c r="P84" s="40" t="n"/>
      <c r="Q84" s="40" t="n"/>
      <c r="R84" s="40" t="n"/>
      <c r="S84" s="44" t="inlineStr">
        <is>
          <t>all links were dead</t>
        </is>
      </c>
    </row>
    <row r="85">
      <c r="A85" s="40" t="inlineStr">
        <is>
          <t>Cables</t>
        </is>
      </c>
      <c r="B85" s="40" t="inlineStr">
        <is>
          <t>MicroFit3 Male Pin (43031-0007)</t>
        </is>
      </c>
      <c r="C85" s="40" t="n"/>
      <c r="D85" s="40" t="inlineStr">
        <is>
          <t>40</t>
        </is>
      </c>
      <c r="E85" s="40" t="inlineStr">
        <is>
          <t>All</t>
        </is>
      </c>
      <c r="F85" s="41">
        <f>HYPERLINK("https://www.digikey.com/products/en","Digikey")</f>
        <v/>
      </c>
      <c r="G85" s="40" t="n"/>
      <c r="H85" s="40" t="n"/>
      <c r="I85" s="40" t="n"/>
      <c r="J85" s="40" t="n"/>
      <c r="K85" s="40" t="n"/>
      <c r="L85" s="40" t="n"/>
      <c r="M85" s="40" t="n"/>
      <c r="N85" s="40" t="n"/>
      <c r="O85" s="40" t="n"/>
      <c r="P85" s="40" t="n"/>
      <c r="Q85" s="40" t="n"/>
      <c r="R85" s="42" t="inlineStr">
        <is>
          <t>This is a good starter kit that has plenty of pins and all of the required connectors. The kit comes with individual part numbers to source individual pieces later if required.</t>
        </is>
      </c>
      <c r="S85" s="40" t="n"/>
    </row>
    <row r="86">
      <c r="A86" s="40" t="inlineStr">
        <is>
          <t>Cables</t>
        </is>
      </c>
      <c r="B86" s="40" t="inlineStr">
        <is>
          <t>MicroFit3 Female Pin (43030-0007)</t>
        </is>
      </c>
      <c r="C86" s="40" t="n"/>
      <c r="D86" s="40" t="inlineStr">
        <is>
          <t>40</t>
        </is>
      </c>
      <c r="E86" s="40" t="inlineStr">
        <is>
          <t>All</t>
        </is>
      </c>
      <c r="F86" s="41">
        <f>HYPERLINK("https://www.digikey.com/products/en","Digikey")</f>
        <v/>
      </c>
      <c r="G86" s="40" t="n"/>
      <c r="H86" s="40" t="n"/>
      <c r="I86" s="40" t="n"/>
      <c r="J86" s="40" t="n"/>
      <c r="K86" s="40" t="n"/>
      <c r="L86" s="40" t="n"/>
      <c r="M86" s="40" t="n"/>
      <c r="N86" s="40" t="n"/>
      <c r="O86" s="40" t="n"/>
      <c r="P86" s="40" t="n"/>
      <c r="Q86" s="40" t="n"/>
      <c r="R86" s="40" t="n"/>
      <c r="S86" s="40" t="n"/>
    </row>
    <row r="87">
      <c r="A87" s="40" t="inlineStr">
        <is>
          <t>Cables</t>
        </is>
      </c>
      <c r="B87" s="40" t="inlineStr">
        <is>
          <t>MicroFit Connector Receptacle 4 Position (43645-0400)</t>
        </is>
      </c>
      <c r="C87" s="40" t="n"/>
      <c r="D87" s="40" t="inlineStr">
        <is>
          <t>4</t>
        </is>
      </c>
      <c r="E87" s="40" t="inlineStr">
        <is>
          <t>All</t>
        </is>
      </c>
      <c r="F87" s="41">
        <f>HYPERLINK("https://www.digikey.com/products/en","Digikey")</f>
        <v/>
      </c>
      <c r="G87" s="40" t="n"/>
      <c r="H87" s="40" t="n"/>
      <c r="I87" s="40" t="n"/>
      <c r="J87" s="40" t="n"/>
      <c r="K87" s="40" t="n"/>
      <c r="L87" s="40" t="n"/>
      <c r="M87" s="40" t="n"/>
      <c r="N87" s="40" t="n"/>
      <c r="O87" s="40" t="n"/>
      <c r="P87" s="40" t="n"/>
      <c r="Q87" s="40" t="n"/>
      <c r="R87" s="40" t="n"/>
      <c r="S87" s="40" t="n"/>
    </row>
    <row r="88">
      <c r="A88" s="40" t="inlineStr">
        <is>
          <t>Cables</t>
        </is>
      </c>
      <c r="B88" s="40" t="inlineStr">
        <is>
          <t>MicroFit Connector Receptacle 3 Position (43645-0300)</t>
        </is>
      </c>
      <c r="C88" s="40" t="n"/>
      <c r="D88" s="40" t="inlineStr">
        <is>
          <t>1</t>
        </is>
      </c>
      <c r="E88" s="40" t="inlineStr">
        <is>
          <t>All</t>
        </is>
      </c>
      <c r="F88" s="41">
        <f>HYPERLINK("https://www.digikey.com/products/en","Digikey")</f>
        <v/>
      </c>
      <c r="G88" s="40" t="n"/>
      <c r="H88" s="40" t="n"/>
      <c r="I88" s="40" t="n"/>
      <c r="J88" s="40" t="n"/>
      <c r="K88" s="40" t="n"/>
      <c r="L88" s="40" t="n"/>
      <c r="M88" s="40" t="n"/>
      <c r="N88" s="40" t="n"/>
      <c r="O88" s="40" t="n"/>
      <c r="P88" s="40" t="n"/>
      <c r="Q88" s="40" t="n"/>
      <c r="R88" s="40" t="n"/>
      <c r="S88" s="40" t="n"/>
    </row>
    <row r="89">
      <c r="A89" s="40" t="inlineStr">
        <is>
          <t>Cables</t>
        </is>
      </c>
      <c r="B89" s="40" t="inlineStr">
        <is>
          <t>MicroFit Connector Receptacle 2 Position (43645-0200)</t>
        </is>
      </c>
      <c r="C89" s="40" t="n"/>
      <c r="D89" s="40" t="inlineStr">
        <is>
          <t>6</t>
        </is>
      </c>
      <c r="E89" s="40" t="inlineStr">
        <is>
          <t>All</t>
        </is>
      </c>
      <c r="F89" s="41">
        <f>HYPERLINK("https://www.digikey.com/products/en","Digikey")</f>
        <v/>
      </c>
      <c r="G89" s="40" t="n"/>
      <c r="H89" s="40" t="n"/>
      <c r="I89" s="40" t="n"/>
      <c r="J89" s="40" t="n"/>
      <c r="K89" s="40" t="n"/>
      <c r="L89" s="40" t="n"/>
      <c r="M89" s="40" t="n"/>
      <c r="N89" s="40" t="n"/>
      <c r="O89" s="40" t="n"/>
      <c r="P89" s="40" t="n"/>
      <c r="Q89" s="40" t="n"/>
      <c r="R89" s="40" t="n"/>
      <c r="S89" s="40" t="n"/>
    </row>
    <row r="90">
      <c r="A90" s="40" t="inlineStr">
        <is>
          <t>Cables</t>
        </is>
      </c>
      <c r="B90" s="40" t="inlineStr">
        <is>
          <t>MicroFit Connector Plug 4 Position (43640-0401)</t>
        </is>
      </c>
      <c r="C90" s="40" t="n"/>
      <c r="D90" s="40" t="inlineStr">
        <is>
          <t>4</t>
        </is>
      </c>
      <c r="E90" s="40" t="inlineStr">
        <is>
          <t>All</t>
        </is>
      </c>
      <c r="F90" s="41">
        <f>HYPERLINK("https://www.digikey.com/products/en","Digikey")</f>
        <v/>
      </c>
      <c r="G90" s="40" t="n"/>
      <c r="H90" s="40" t="n"/>
      <c r="I90" s="40" t="n"/>
      <c r="J90" s="40" t="n"/>
      <c r="K90" s="40" t="n"/>
      <c r="L90" s="40" t="n"/>
      <c r="M90" s="40" t="n"/>
      <c r="N90" s="40" t="n"/>
      <c r="O90" s="40" t="n"/>
      <c r="P90" s="40" t="n"/>
      <c r="Q90" s="40" t="n"/>
      <c r="R90" s="40" t="n"/>
      <c r="S90" s="40" t="n"/>
    </row>
    <row r="91">
      <c r="A91" s="40" t="inlineStr">
        <is>
          <t>Cables</t>
        </is>
      </c>
      <c r="B91" s="40" t="inlineStr">
        <is>
          <t>MicroFit Connector Plug 3 Position (43640-0301)</t>
        </is>
      </c>
      <c r="C91" s="40" t="n"/>
      <c r="D91" s="40" t="inlineStr">
        <is>
          <t>1</t>
        </is>
      </c>
      <c r="E91" s="40" t="inlineStr">
        <is>
          <t>All</t>
        </is>
      </c>
      <c r="F91" s="41">
        <f>HYPERLINK("https://www.digikey.com/products/en","Digikey")</f>
        <v/>
      </c>
      <c r="G91" s="40" t="n"/>
      <c r="H91" s="40" t="n"/>
      <c r="I91" s="40" t="n"/>
      <c r="J91" s="40" t="n"/>
      <c r="K91" s="40" t="n"/>
      <c r="L91" s="40" t="n"/>
      <c r="M91" s="40" t="n"/>
      <c r="N91" s="40" t="n"/>
      <c r="O91" s="40" t="n"/>
      <c r="P91" s="40" t="n"/>
      <c r="Q91" s="40" t="n"/>
      <c r="R91" s="40" t="n"/>
      <c r="S91" s="40" t="n"/>
    </row>
    <row r="92">
      <c r="A92" s="40" t="inlineStr">
        <is>
          <t>Cables</t>
        </is>
      </c>
      <c r="B92" s="40" t="inlineStr">
        <is>
          <t>MicroFit Connector Plug 2 Position (43640-0201)</t>
        </is>
      </c>
      <c r="C92" s="40" t="n"/>
      <c r="D92" s="40" t="inlineStr">
        <is>
          <t>6</t>
        </is>
      </c>
      <c r="E92" s="40" t="inlineStr">
        <is>
          <t>All</t>
        </is>
      </c>
      <c r="F92" s="41">
        <f>HYPERLINK("https://www.digikey.com/products/en","Digikey")</f>
        <v/>
      </c>
      <c r="G92" s="40" t="n"/>
      <c r="H92" s="40" t="n"/>
      <c r="I92" s="40" t="n"/>
      <c r="J92" s="40" t="n"/>
      <c r="K92" s="40" t="n"/>
      <c r="L92" s="40" t="n"/>
      <c r="M92" s="40" t="n"/>
      <c r="N92" s="40" t="n"/>
      <c r="O92" s="40" t="n"/>
      <c r="P92" s="40" t="n"/>
      <c r="Q92" s="40" t="n"/>
      <c r="R92" s="40" t="n"/>
      <c r="S92" s="40" t="n"/>
    </row>
    <row r="93">
      <c r="A93" s="40" t="inlineStr">
        <is>
          <t>Cables</t>
        </is>
      </c>
      <c r="B93" s="40" t="inlineStr">
        <is>
          <t>MLX Power Receptacle 3 Position (50-84-2030)</t>
        </is>
      </c>
      <c r="C93" s="40" t="n"/>
      <c r="D93" s="40" t="inlineStr">
        <is>
          <t>1</t>
        </is>
      </c>
      <c r="E93" s="40" t="inlineStr">
        <is>
          <t>All</t>
        </is>
      </c>
      <c r="F93" s="41">
        <f>HYPERLINK("https://www.digikey.com/products/en","Digikey")</f>
        <v/>
      </c>
      <c r="G93" s="40" t="n"/>
      <c r="H93" s="40" t="n"/>
      <c r="I93" s="40" t="n"/>
      <c r="J93" s="40" t="n"/>
      <c r="K93" s="40" t="n"/>
      <c r="L93" s="40" t="n"/>
      <c r="M93" s="40" t="n"/>
      <c r="N93" s="40" t="n"/>
      <c r="O93" s="40" t="n"/>
      <c r="P93" s="40" t="n"/>
      <c r="Q93" s="40" t="n"/>
      <c r="R93" s="42" t="inlineStr">
        <is>
          <t>For Bed (Line, Neutral and Ground)</t>
        </is>
      </c>
      <c r="S93" s="40" t="n"/>
    </row>
    <row r="94">
      <c r="A94" s="40" t="inlineStr">
        <is>
          <t>Cables</t>
        </is>
      </c>
      <c r="B94" s="40" t="inlineStr">
        <is>
          <t>MLX Power Plug 3 Position (50-84-1030)</t>
        </is>
      </c>
      <c r="C94" s="40" t="n"/>
      <c r="D94" s="40" t="inlineStr">
        <is>
          <t>1</t>
        </is>
      </c>
      <c r="E94" s="40" t="inlineStr">
        <is>
          <t>All</t>
        </is>
      </c>
      <c r="F94" s="41">
        <f>HYPERLINK("https://www.digikey.com/products/en","Digikey")</f>
        <v/>
      </c>
      <c r="G94" s="40" t="n"/>
      <c r="H94" s="40" t="n"/>
      <c r="I94" s="40" t="n"/>
      <c r="J94" s="40" t="n"/>
      <c r="K94" s="40" t="n"/>
      <c r="L94" s="40" t="n"/>
      <c r="M94" s="40" t="n"/>
      <c r="N94" s="40" t="n"/>
      <c r="O94" s="40" t="n"/>
      <c r="P94" s="40" t="n"/>
      <c r="Q94" s="40" t="n"/>
      <c r="R94" s="40" t="n"/>
      <c r="S94" s="40" t="n"/>
    </row>
    <row r="95">
      <c r="A95" s="40" t="inlineStr">
        <is>
          <t>Cables</t>
        </is>
      </c>
      <c r="B95" s="40" t="inlineStr">
        <is>
          <t>MLX Male Pin (02-08-2004)</t>
        </is>
      </c>
      <c r="C95" s="40" t="n"/>
      <c r="D95" s="40" t="inlineStr">
        <is>
          <t>6</t>
        </is>
      </c>
      <c r="E95" s="40" t="inlineStr">
        <is>
          <t>All</t>
        </is>
      </c>
      <c r="F95" s="41">
        <f>HYPERLINK("https://www.digikey.com/products/en","Digikey")</f>
        <v/>
      </c>
      <c r="G95" s="40" t="n"/>
      <c r="H95" s="40" t="n"/>
      <c r="I95" s="40" t="n"/>
      <c r="J95" s="40" t="n"/>
      <c r="K95" s="40" t="n"/>
      <c r="L95" s="40" t="n"/>
      <c r="M95" s="40" t="n"/>
      <c r="N95" s="40" t="n"/>
      <c r="O95" s="40" t="n"/>
      <c r="P95" s="40" t="n"/>
      <c r="Q95" s="40" t="n"/>
      <c r="R95" s="40" t="n"/>
      <c r="S95" s="40" t="n"/>
    </row>
    <row r="96">
      <c r="A96" s="40" t="inlineStr">
        <is>
          <t>Cables</t>
        </is>
      </c>
      <c r="B96" s="40" t="inlineStr">
        <is>
          <t>MLX Female Pin (02-08-1002)</t>
        </is>
      </c>
      <c r="C96" s="40" t="n"/>
      <c r="D96" s="40" t="inlineStr">
        <is>
          <t>6</t>
        </is>
      </c>
      <c r="E96" s="40" t="inlineStr">
        <is>
          <t>All</t>
        </is>
      </c>
      <c r="F96" s="41">
        <f>HYPERLINK("https://www.digikey.com/products/en","Digikey")</f>
        <v/>
      </c>
      <c r="G96" s="40" t="n"/>
      <c r="H96" s="40" t="n"/>
      <c r="I96" s="40" t="n"/>
      <c r="J96" s="40" t="n"/>
      <c r="K96" s="40" t="n"/>
      <c r="L96" s="40" t="n"/>
      <c r="M96" s="40" t="n"/>
      <c r="N96" s="40" t="n"/>
      <c r="O96" s="40" t="n"/>
      <c r="P96" s="40" t="n"/>
      <c r="Q96" s="40" t="n"/>
      <c r="R96" s="40" t="n"/>
      <c r="S96" s="40" t="n"/>
    </row>
    <row r="97">
      <c r="A97" s="40" t="inlineStr">
        <is>
          <t>Cables</t>
        </is>
      </c>
      <c r="B97" s="40" t="inlineStr">
        <is>
          <t>JST-XH Female Pin</t>
        </is>
      </c>
      <c r="C97" s="40" t="n"/>
      <c r="D97" s="40" t="inlineStr">
        <is>
          <t>40</t>
        </is>
      </c>
      <c r="E97" s="40" t="inlineStr">
        <is>
          <t>All</t>
        </is>
      </c>
      <c r="F97" s="41">
        <f>HYPERLINK("https://www.digikey.com/product-detail/en/amphenol-icc-fci/47649-000LF/609-3614-1-ND/2044035","Digikey")</f>
        <v/>
      </c>
      <c r="G97" s="40" t="n"/>
      <c r="H97" s="43">
        <f>HYPERLINK("https://www.amazon.com/dp/B015Y6JOUG","Amazon")</f>
        <v/>
      </c>
      <c r="I97" s="40" t="n"/>
      <c r="J97" s="43">
        <f>HYPERLINK("https://www.amazon.com/dp/B01G0I0ZZK","Amazon")</f>
        <v/>
      </c>
      <c r="K97" s="43">
        <f>HYPERLINK("https://amzn.to/2l5ZXY8","[Affiliate Link]")</f>
        <v/>
      </c>
      <c r="L97" s="40" t="n"/>
      <c r="M97" s="40" t="n"/>
      <c r="N97" s="40" t="n"/>
      <c r="O97" s="40" t="n"/>
      <c r="P97" s="40" t="n"/>
      <c r="Q97" s="40" t="n"/>
      <c r="R97" s="42" t="inlineStr">
        <is>
          <t>Most modern boards use JST XH connectors for fan, stepper, thermistor, and endstop connections, but be sure to check the documentation for your board.</t>
        </is>
      </c>
      <c r="S97" s="44" t="inlineStr">
        <is>
          <t>some links were dead</t>
        </is>
      </c>
    </row>
    <row r="98">
      <c r="A98" s="40" t="inlineStr">
        <is>
          <t>Cables</t>
        </is>
      </c>
      <c r="B98" s="40" t="inlineStr">
        <is>
          <t>JST-XH Connector Plug 4 Position</t>
        </is>
      </c>
      <c r="C98" s="40" t="n"/>
      <c r="D98" s="40" t="inlineStr">
        <is>
          <t>4</t>
        </is>
      </c>
      <c r="E98" s="40" t="inlineStr">
        <is>
          <t>All</t>
        </is>
      </c>
      <c r="F98" s="41">
        <f>HYPERLINK("https://www.digikey.com/product-detail/en/amphenol-icc-fci/65039-033ELF/609-5481-ND/4272532","Digikey")</f>
        <v/>
      </c>
      <c r="G98" s="40" t="n"/>
      <c r="H98" s="40" t="n"/>
      <c r="I98" s="40" t="n"/>
      <c r="J98" s="40" t="n"/>
      <c r="K98" s="40" t="n"/>
      <c r="L98" s="40" t="n"/>
      <c r="M98" s="40" t="n"/>
      <c r="N98" s="40" t="n"/>
      <c r="O98" s="40" t="n"/>
      <c r="P98" s="40" t="n"/>
      <c r="Q98" s="40" t="n"/>
      <c r="R98" s="40" t="n"/>
      <c r="S98" s="40" t="n"/>
    </row>
    <row r="99">
      <c r="A99" s="40" t="inlineStr">
        <is>
          <t>Cables</t>
        </is>
      </c>
      <c r="B99" s="40" t="inlineStr">
        <is>
          <t>JST-XH Connector Plug 3 Position</t>
        </is>
      </c>
      <c r="C99" s="40" t="n"/>
      <c r="D99" s="40" t="inlineStr">
        <is>
          <t>4</t>
        </is>
      </c>
      <c r="E99" s="40" t="inlineStr">
        <is>
          <t>All</t>
        </is>
      </c>
      <c r="F99" s="41">
        <f>HYPERLINK("https://www.digikey.com/product-detail/en/amphenol-icc-fci/65039-034ELF/609-5482-ND/4272533","Digikey")</f>
        <v/>
      </c>
      <c r="G99" s="40" t="n"/>
      <c r="H99" s="40" t="n"/>
      <c r="I99" s="40" t="n"/>
      <c r="J99" s="40" t="n"/>
      <c r="K99" s="40" t="n"/>
      <c r="L99" s="40" t="n"/>
      <c r="M99" s="40" t="n"/>
      <c r="N99" s="40" t="n"/>
      <c r="O99" s="40" t="n"/>
      <c r="P99" s="40" t="n"/>
      <c r="Q99" s="40" t="n"/>
      <c r="R99" s="40" t="n"/>
      <c r="S99" s="40" t="n"/>
    </row>
    <row r="100">
      <c r="A100" s="40" t="inlineStr">
        <is>
          <t>Cables</t>
        </is>
      </c>
      <c r="B100" s="40" t="inlineStr">
        <is>
          <t>JST-XH Connector Plug 2 Position</t>
        </is>
      </c>
      <c r="C100" s="40" t="n"/>
      <c r="D100" s="40" t="inlineStr">
        <is>
          <t>4</t>
        </is>
      </c>
      <c r="E100" s="40" t="inlineStr">
        <is>
          <t>All</t>
        </is>
      </c>
      <c r="F100" s="41">
        <f>HYPERLINK("https://www.digikey.com/product-detail/en/amphenol-icc-fci/65039-035ELF/609-5483-ND/4272534","Digikey")</f>
        <v/>
      </c>
      <c r="G100" s="40" t="n"/>
      <c r="H100" s="40" t="n"/>
      <c r="I100" s="40" t="n"/>
      <c r="J100" s="40" t="n"/>
      <c r="K100" s="40" t="n"/>
      <c r="L100" s="40" t="n"/>
      <c r="M100" s="40" t="n"/>
      <c r="N100" s="40" t="n"/>
      <c r="O100" s="40" t="n"/>
      <c r="P100" s="40" t="n"/>
      <c r="Q100" s="40" t="n"/>
      <c r="R100" s="40" t="n"/>
      <c r="S100" s="40" t="n"/>
    </row>
    <row r="101">
      <c r="A101" s="40" t="inlineStr">
        <is>
          <t>Cables</t>
        </is>
      </c>
      <c r="B101" s="40" t="inlineStr">
        <is>
          <t>22AWG PTFE wire (250ft total)</t>
        </is>
      </c>
      <c r="C101" s="40" t="n"/>
      <c r="D101" s="40" t="inlineStr">
        <is>
          <t>1</t>
        </is>
      </c>
      <c r="E101" s="40" t="inlineStr">
        <is>
          <t>All</t>
        </is>
      </c>
      <c r="F101" s="40" t="n"/>
      <c r="G101" s="40" t="n"/>
      <c r="H101" s="40" t="n"/>
      <c r="I101" s="40" t="n"/>
      <c r="J101" s="40" t="n"/>
      <c r="K101" s="40" t="n"/>
      <c r="L101" s="40" t="n"/>
      <c r="M101" s="40" t="n"/>
      <c r="N101" s="40" t="n"/>
      <c r="O101" s="40" t="n"/>
      <c r="P101" s="40" t="n"/>
      <c r="Q101" s="40" t="n"/>
      <c r="R101" s="40" t="n"/>
      <c r="S101" s="44" t="inlineStr">
        <is>
          <t>all links were dead</t>
        </is>
      </c>
    </row>
    <row r="102">
      <c r="A102" s="40" t="inlineStr">
        <is>
          <t>Cables</t>
        </is>
      </c>
      <c r="B102" s="40" t="inlineStr">
        <is>
          <t>18AWG Silicone Cable (10ft total)</t>
        </is>
      </c>
      <c r="C102" s="40" t="n"/>
      <c r="D102" s="40" t="inlineStr">
        <is>
          <t>1</t>
        </is>
      </c>
      <c r="E102" s="40" t="inlineStr">
        <is>
          <t>All</t>
        </is>
      </c>
      <c r="F102" s="41">
        <f>HYPERLINK("https://www.amazon.com/dp/B01LH1G2IE","Striveday")</f>
        <v/>
      </c>
      <c r="G102" s="40" t="n"/>
      <c r="H102" s="43">
        <f>HYPERLINK("https://www.aliexpress.com/item/32872395185.html","Striveday")</f>
        <v/>
      </c>
      <c r="I102" s="43">
        <f>HYPERLINK("https://s.click.aliexpress.com/e/kzE6vJLi","[Affiliate Link]")</f>
        <v/>
      </c>
      <c r="J102" s="40" t="n"/>
      <c r="K102" s="40" t="n"/>
      <c r="L102" s="40" t="n"/>
      <c r="M102" s="40" t="n"/>
      <c r="N102" s="40" t="n"/>
      <c r="O102" s="40" t="n"/>
      <c r="P102" s="40" t="n"/>
      <c r="Q102" s="40" t="n"/>
      <c r="R102" s="42" t="inlineStr">
        <is>
          <t>Since Lian has 4-6 conductor ribbon cable in a few difference sizes, makes wiring a bit easier through the cable chains</t>
        </is>
      </c>
      <c r="S102" s="40" t="n"/>
    </row>
    <row r="103">
      <c r="A103" s="40" t="inlineStr">
        <is>
          <t>Cables</t>
        </is>
      </c>
      <c r="B103" s="40" t="inlineStr">
        <is>
          <t>IGUS E2-15-10-028-0 Chain</t>
        </is>
      </c>
      <c r="C103" s="40" t="n"/>
      <c r="D103" s="40" t="inlineStr">
        <is>
          <t>1</t>
        </is>
      </c>
      <c r="E103" s="40" t="inlineStr">
        <is>
          <t>All</t>
        </is>
      </c>
      <c r="F103" s="40" t="n"/>
      <c r="G103" s="40" t="n"/>
      <c r="H103" s="40" t="n"/>
      <c r="I103" s="40" t="n"/>
      <c r="J103" s="40" t="n"/>
      <c r="K103" s="40" t="n"/>
      <c r="L103" s="40" t="n"/>
      <c r="M103" s="40" t="n"/>
      <c r="N103" s="40" t="n"/>
      <c r="O103" s="40" t="n"/>
      <c r="P103" s="40" t="n"/>
      <c r="Q103" s="40" t="n"/>
      <c r="R103" s="42" t="inlineStr">
        <is>
          <t>Z Chain, (250 - 22 links) (300 - 25 links) (350 - 28 links) *adjust travel distance untill desired number of links is shown*</t>
        </is>
      </c>
      <c r="S103" s="40" t="n"/>
    </row>
    <row r="104">
      <c r="A104" s="40" t="inlineStr">
        <is>
          <t>Cables</t>
        </is>
      </c>
      <c r="B104" s="40" t="inlineStr">
        <is>
          <t>IGUS E2-150-10-12PZ Chain Ends</t>
        </is>
      </c>
      <c r="C104" s="40" t="n"/>
      <c r="D104" s="40" t="inlineStr">
        <is>
          <t>1</t>
        </is>
      </c>
      <c r="E104" s="40" t="inlineStr">
        <is>
          <t>All</t>
        </is>
      </c>
      <c r="F104" s="40" t="n"/>
      <c r="G104" s="40" t="n"/>
      <c r="H104" s="40" t="n"/>
      <c r="I104" s="40" t="n"/>
      <c r="J104" s="40" t="n"/>
      <c r="K104" s="40" t="n"/>
      <c r="L104" s="40" t="n"/>
      <c r="M104" s="40" t="n"/>
      <c r="N104" s="40" t="n"/>
      <c r="O104" s="40" t="n"/>
      <c r="P104" s="40" t="n"/>
      <c r="Q104" s="40" t="n"/>
      <c r="R104" s="42" t="inlineStr">
        <is>
          <t>Z Chain End link sets</t>
        </is>
      </c>
      <c r="S104" s="40" t="n"/>
    </row>
    <row r="105">
      <c r="A105" s="40" t="inlineStr">
        <is>
          <t>Cables</t>
        </is>
      </c>
      <c r="B105" s="40" t="inlineStr">
        <is>
          <t>IGUS E2i-10-10-018-0 Chain</t>
        </is>
      </c>
      <c r="C105" s="40" t="n"/>
      <c r="D105" s="40" t="inlineStr">
        <is>
          <t>2</t>
        </is>
      </c>
      <c r="E105" s="40" t="inlineStr">
        <is>
          <t>All</t>
        </is>
      </c>
      <c r="F105" s="40" t="n"/>
      <c r="G105" s="40" t="n"/>
      <c r="H105" s="40" t="n"/>
      <c r="I105" s="40" t="n"/>
      <c r="J105" s="40" t="n"/>
      <c r="K105" s="40" t="n"/>
      <c r="L105" s="40" t="n"/>
      <c r="M105" s="40" t="n"/>
      <c r="N105" s="40" t="n"/>
      <c r="O105" s="40" t="n"/>
      <c r="P105" s="40" t="n"/>
      <c r="Q105" s="40" t="n"/>
      <c r="R105" s="42" t="inlineStr">
        <is>
          <t>X/Y Chain (250 - 16 links) (300 - 19 links) (350 - 21 links) *adjust travel distance untill desired number of links is shown*</t>
        </is>
      </c>
      <c r="S105" s="40" t="n"/>
    </row>
    <row r="106">
      <c r="A106" s="40" t="inlineStr">
        <is>
          <t>Cables</t>
        </is>
      </c>
      <c r="B106" s="40" t="inlineStr">
        <is>
          <t>IGUS E2-100-10-12PZ Chain Ends</t>
        </is>
      </c>
      <c r="C106" s="40" t="n"/>
      <c r="D106" s="40" t="inlineStr">
        <is>
          <t>2</t>
        </is>
      </c>
      <c r="E106" s="40" t="inlineStr">
        <is>
          <t>All</t>
        </is>
      </c>
      <c r="F106" s="40" t="n"/>
      <c r="G106" s="40" t="n"/>
      <c r="H106" s="40" t="n"/>
      <c r="I106" s="40" t="n"/>
      <c r="J106" s="40" t="n"/>
      <c r="K106" s="40" t="n"/>
      <c r="L106" s="40" t="n"/>
      <c r="M106" s="40" t="n"/>
      <c r="N106" s="40" t="n"/>
      <c r="O106" s="40" t="n"/>
      <c r="P106" s="40" t="n"/>
      <c r="Q106" s="40" t="n"/>
      <c r="R106" s="42" t="inlineStr">
        <is>
          <t>X/Y Chain End link sets</t>
        </is>
      </c>
      <c r="S106" s="40" t="n"/>
    </row>
    <row r="107">
      <c r="A107" s="45" t="inlineStr">
        <is>
          <t>Panels</t>
        </is>
      </c>
      <c r="B107" s="45" t="inlineStr">
        <is>
          <t>Bottom/Back/Electronics Bay Panels</t>
        </is>
      </c>
      <c r="C107" s="45" t="n"/>
      <c r="D107" s="45" t="inlineStr">
        <is>
          <t>3</t>
        </is>
      </c>
      <c r="E107" s="45" t="inlineStr">
        <is>
          <t>All</t>
        </is>
      </c>
      <c r="F107" s="46">
        <f>HYPERLINK("https://www.michaels.com/corrugated-board-by-creatology/M10567770.html","Michaels Craft Store (Coroplast)")</f>
        <v/>
      </c>
      <c r="G107" s="45" t="n"/>
      <c r="H107" s="47">
        <f>HYPERLINK("https://mnlasercutting.com/","MN Laser Cutting")</f>
        <v/>
      </c>
      <c r="I107" s="45" t="n"/>
      <c r="J107" s="45" t="n"/>
      <c r="K107" s="45" t="n"/>
      <c r="L107" s="45" t="n"/>
      <c r="M107" s="45" t="n"/>
      <c r="N107" s="45" t="n"/>
      <c r="O107" s="45" t="n"/>
      <c r="P107" s="45" t="n"/>
      <c r="Q107" s="45" t="n"/>
      <c r="R107" s="45" t="n"/>
      <c r="S107" s="45" t="n"/>
    </row>
    <row r="108">
      <c r="A108" s="45" t="inlineStr">
        <is>
          <t>Panels</t>
        </is>
      </c>
      <c r="B108" s="45" t="inlineStr">
        <is>
          <t>Side/Front/Top Acrylic Panels</t>
        </is>
      </c>
      <c r="C108" s="45" t="n"/>
      <c r="D108" s="45" t="inlineStr">
        <is>
          <t>4</t>
        </is>
      </c>
      <c r="E108" s="45" t="inlineStr">
        <is>
          <t>All</t>
        </is>
      </c>
      <c r="F108" s="46">
        <f>HYPERLINK("https://www.tapplastics.com/product/plastics/cut_to_size_plastic/acrylic_sheets_clear/508","TAP Plastics (Acrylic)")</f>
        <v/>
      </c>
      <c r="G108" s="45" t="n"/>
      <c r="H108" s="45" t="n"/>
      <c r="I108" s="45" t="n"/>
      <c r="J108" s="45" t="n"/>
      <c r="K108" s="45" t="n"/>
      <c r="L108" s="45" t="n"/>
      <c r="M108" s="45" t="n"/>
      <c r="N108" s="45" t="n"/>
      <c r="O108" s="45" t="n"/>
      <c r="P108" s="45" t="n"/>
      <c r="Q108" s="45" t="n"/>
      <c r="R108" s="45" t="n"/>
      <c r="S108" s="45" t="n"/>
    </row>
    <row r="109">
      <c r="A109" s="48" t="inlineStr">
        <is>
          <t>Buildplate</t>
        </is>
      </c>
      <c r="B109" s="48" t="inlineStr">
        <is>
          <t>Aluminum Build Plate (MIC6/ATP-5/Jig Plate/etc) (5/16in or 8mm depending on whats available in your country)</t>
        </is>
      </c>
      <c r="C109" s="48" t="n"/>
      <c r="D109" s="48" t="inlineStr">
        <is>
          <t>1</t>
        </is>
      </c>
      <c r="E109" s="48" t="inlineStr">
        <is>
          <t>250</t>
        </is>
      </c>
      <c r="F109" s="49">
        <f>HYPERLINK("https://clever3d.de/epages/7a4290fc-7c7f-46cc-9b99-eadef22228e2.sf/en_US?ObjectPath=%2FShops%2F7a4290fc-7c7f-46cc-9b99-eadef22228e2%2FProducts%2FAluGuss8mm","Clever3D.de")</f>
        <v/>
      </c>
      <c r="G109" s="48" t="n"/>
      <c r="H109" s="48" t="n"/>
      <c r="I109" s="48" t="n"/>
      <c r="J109" s="48" t="n"/>
      <c r="K109" s="48" t="n"/>
      <c r="L109" s="48" t="n"/>
      <c r="M109" s="48" t="n"/>
      <c r="N109" s="48" t="n"/>
      <c r="O109" s="48" t="n"/>
      <c r="P109" s="48" t="n"/>
      <c r="Q109" s="48" t="n"/>
      <c r="R109" s="50" t="inlineStr">
        <is>
          <t>Thicker material is fine too, just keep in mind your heat up times will greatly increase</t>
        </is>
      </c>
      <c r="S109" s="48" t="n"/>
    </row>
    <row r="110">
      <c r="A110" s="48" t="inlineStr">
        <is>
          <t>Buildplate</t>
        </is>
      </c>
      <c r="B110" s="48" t="inlineStr">
        <is>
          <t>Aluminum Build Plate (MIC6/ATP-5/Jig Plate/etc) (5/16in or 8mm depending on whats available in your country)</t>
        </is>
      </c>
      <c r="C110" s="48" t="n"/>
      <c r="D110" s="48" t="inlineStr">
        <is>
          <t>1</t>
        </is>
      </c>
      <c r="E110" s="48" t="inlineStr">
        <is>
          <t>300</t>
        </is>
      </c>
      <c r="F110" s="49">
        <f>HYPERLINK("https://clever3d.de/epages/7a4290fc-7c7f-46cc-9b99-eadef22228e2.sf/en_US?ObjectPath=%2FShops%2F7a4290fc-7c7f-46cc-9b99-eadef22228e2%2FProducts%2FAluGuss8mm","Clever3D.de")</f>
        <v/>
      </c>
      <c r="G110" s="48" t="n"/>
      <c r="H110" s="48" t="n"/>
      <c r="I110" s="48" t="n"/>
      <c r="J110" s="48" t="n"/>
      <c r="K110" s="48" t="n"/>
      <c r="L110" s="48" t="n"/>
      <c r="M110" s="48" t="n"/>
      <c r="N110" s="48" t="n"/>
      <c r="O110" s="48" t="n"/>
      <c r="P110" s="48" t="n"/>
      <c r="Q110" s="48" t="n"/>
      <c r="R110" s="50" t="inlineStr">
        <is>
          <t>Thicker material is fine too, just keep in mind your heat up times will greatly increase</t>
        </is>
      </c>
      <c r="S110" s="48" t="n"/>
    </row>
    <row r="111">
      <c r="A111" s="48" t="inlineStr">
        <is>
          <t>Buildplate</t>
        </is>
      </c>
      <c r="B111" s="48" t="inlineStr">
        <is>
          <t>Aluminum Build Plate (MIC6/ATP-5/Jig Plate/etc) (5/16in or 8mm depending on whats available in your country)</t>
        </is>
      </c>
      <c r="C111" s="48" t="n"/>
      <c r="D111" s="48" t="inlineStr">
        <is>
          <t>1</t>
        </is>
      </c>
      <c r="E111" s="48" t="inlineStr">
        <is>
          <t>350</t>
        </is>
      </c>
      <c r="F111" s="49">
        <f>HYPERLINK("https://clever3d.de/epages/7a4290fc-7c7f-46cc-9b99-eadef22228e2.sf/en_US?ObjectPath=%2FShops%2F7a4290fc-7c7f-46cc-9b99-eadef22228e2%2FProducts%2FAluGuss8mm","Clever3D.de")</f>
        <v/>
      </c>
      <c r="G111" s="48" t="n"/>
      <c r="H111" s="48" t="n"/>
      <c r="I111" s="48" t="n"/>
      <c r="J111" s="48" t="n"/>
      <c r="K111" s="48" t="n"/>
      <c r="L111" s="48" t="n"/>
      <c r="M111" s="48" t="n"/>
      <c r="N111" s="48" t="n"/>
      <c r="O111" s="48" t="n"/>
      <c r="P111" s="48" t="n"/>
      <c r="Q111" s="48" t="n"/>
      <c r="R111" s="50" t="inlineStr">
        <is>
          <t>Thicker material is fine too, just keep in mind your heat up times will greatly increase</t>
        </is>
      </c>
      <c r="S111" s="48" t="n"/>
    </row>
    <row r="112">
      <c r="A112" s="48" t="inlineStr">
        <is>
          <t>Buildplate</t>
        </is>
      </c>
      <c r="B112" s="48" t="inlineStr">
        <is>
          <t>Silicone AC Heater 200x200mm</t>
        </is>
      </c>
      <c r="C112" s="48" t="n"/>
      <c r="D112" s="48" t="inlineStr">
        <is>
          <t>1</t>
        </is>
      </c>
      <c r="E112" s="48" t="inlineStr">
        <is>
          <t>250</t>
        </is>
      </c>
      <c r="F112" s="49">
        <f>HYPERLINK("https://keenovo.store/collections/standard-keenovo-silicone-heaters/products/keenovo-square-silicone-heater-3d-printer-build-plate-heatbed-heating-pad?variant=8324020731959","Keenovo (120v)")</f>
        <v/>
      </c>
      <c r="G112" s="48" t="n"/>
      <c r="H112" s="51">
        <f>HYPERLINK("https://keenovo.store/collections/standard-keenovo-silicone-heaters/products/keenovo-square-silicone-heater-3d-printer-build-plate-heatbed-heating-pad?variant=8324020764727","Keenovo (220v)")</f>
        <v/>
      </c>
      <c r="I112" s="48" t="n"/>
      <c r="J112" s="48" t="n"/>
      <c r="K112" s="48" t="n"/>
      <c r="L112" s="48" t="n"/>
      <c r="M112" s="48" t="n"/>
      <c r="N112" s="48" t="n"/>
      <c r="O112" s="48" t="n"/>
      <c r="P112" s="48" t="n"/>
      <c r="Q112" s="48" t="n"/>
      <c r="R112" s="50" t="inlineStr">
        <is>
          <t>The heater size and power rating are not critical to have exactly at spec. The mat needs to be smaller than the bed so you have room for mounting hardware and an external thermal fuse. If the mat is underpowered, it will take longer to heat your bed. If it is overpowered, you can use firmware control to have it use less power. Using an overpowered heater at max power will heat your bed faster but make it more prone to warping. Choose an AC voltage suitable for your region. you do not need a thermoSTAT</t>
        </is>
      </c>
      <c r="S112" s="48" t="n"/>
    </row>
    <row r="113">
      <c r="A113" s="48" t="inlineStr">
        <is>
          <t>Buildplate</t>
        </is>
      </c>
      <c r="B113" s="48" t="inlineStr">
        <is>
          <t>Silicone AC Heater 250x250mm</t>
        </is>
      </c>
      <c r="C113" s="48" t="n"/>
      <c r="D113" s="48" t="inlineStr">
        <is>
          <t>1</t>
        </is>
      </c>
      <c r="E113" s="48" t="inlineStr">
        <is>
          <t>300</t>
        </is>
      </c>
      <c r="F113" s="49">
        <f>HYPERLINK("https://keenovo.store/collections/standard-keenovo-silicone-heaters/products/keenovo-square-silicone-heater-3d-printer-build-plate-heatbed-heating-pad?variant=8324020928567","Keenovo (120v)")</f>
        <v/>
      </c>
      <c r="G113" s="48" t="n"/>
      <c r="H113" s="51">
        <f>HYPERLINK("https://keenovo.store/collections/standard-keenovo-silicone-heaters/products/keenovo-square-silicone-heater-3d-printer-build-plate-heatbed-heating-pad?variant=8324020961335","Keenovo (220v)")</f>
        <v/>
      </c>
      <c r="I113" s="48" t="n"/>
      <c r="J113" s="48" t="n"/>
      <c r="K113" s="48" t="n"/>
      <c r="L113" s="48" t="n"/>
      <c r="M113" s="48" t="n"/>
      <c r="N113" s="48" t="n"/>
      <c r="O113" s="48" t="n"/>
      <c r="P113" s="48" t="n"/>
      <c r="Q113" s="48" t="n"/>
      <c r="R113" s="48" t="n"/>
      <c r="S113" s="48" t="n"/>
    </row>
    <row r="114">
      <c r="A114" s="48" t="inlineStr">
        <is>
          <t>Buildplate</t>
        </is>
      </c>
      <c r="B114" s="48" t="inlineStr">
        <is>
          <t>Silicone AC Heater 300x300mm</t>
        </is>
      </c>
      <c r="C114" s="48" t="n"/>
      <c r="D114" s="48" t="inlineStr">
        <is>
          <t>1</t>
        </is>
      </c>
      <c r="E114" s="48" t="inlineStr">
        <is>
          <t>350</t>
        </is>
      </c>
      <c r="F114" s="49">
        <f>HYPERLINK("https://keenovo.store/collections/standard-keenovo-silicone-heaters/products/keenovo-square-silicone-heater-3d-printer-build-plate-heatbed-heating-pad?variant=8324021092407","Keenovo (120v)")</f>
        <v/>
      </c>
      <c r="G114" s="48" t="n"/>
      <c r="H114" s="51">
        <f>HYPERLINK("https://keenovo.store/collections/standard-keenovo-silicone-heaters/products/keenovo-square-silicone-heater-3d-printer-build-plate-heatbed-heating-pad?variant=8324021125175","Keenovo (220v)")</f>
        <v/>
      </c>
      <c r="I114" s="48" t="n"/>
      <c r="J114" s="48" t="n"/>
      <c r="K114" s="48" t="n"/>
      <c r="L114" s="48" t="n"/>
      <c r="M114" s="48" t="n"/>
      <c r="N114" s="48" t="n"/>
      <c r="O114" s="48" t="n"/>
      <c r="P114" s="48" t="n"/>
      <c r="Q114" s="48" t="n"/>
      <c r="R114" s="48" t="n"/>
      <c r="S114" s="48" t="n"/>
    </row>
    <row r="115">
      <c r="A115" s="48" t="inlineStr">
        <is>
          <t>Buildplate</t>
        </is>
      </c>
      <c r="B115" s="48" t="inlineStr">
        <is>
          <t>PEI + 3M 468P (200MP)</t>
        </is>
      </c>
      <c r="C115" s="48" t="n"/>
      <c r="D115" s="48" t="inlineStr">
        <is>
          <t>1</t>
        </is>
      </c>
      <c r="E115" s="48" t="inlineStr">
        <is>
          <t>250</t>
        </is>
      </c>
      <c r="F115" s="49">
        <f>HYPERLINK("https://catalog.cshyde.com/item/pei-ultem/int-surface-10-mil-ultem-pei-w-3m-acrylic-adhesive/36-10a-3d-9-84-12-40","CSHyde (Trim)")</f>
        <v/>
      </c>
      <c r="G115" s="48" t="n"/>
      <c r="H115" s="51">
        <f>HYPERLINK("https://catalog.cshyde.com/item/pei-ultem/int-surface-10-mil-ultem-pei-w-3m-acrylic-adhesive/36-10a-3d-12x12","CSHyde")</f>
        <v/>
      </c>
      <c r="I115" s="48" t="n"/>
      <c r="J115" s="51">
        <f>HYPERLINK("https://catalog.cshyde.com/item/pei-sheet-3d-printing-build-surface/10-mil-ultem-pei-w-3m-acrylic-adhesive/36-10a-3d-4-7x4-7","CS Hyde")</f>
        <v/>
      </c>
      <c r="K115" s="48" t="n"/>
      <c r="L115" s="51">
        <f>HYPERLINK("https://catalog.cshyde.com/item/pei-ultem/int-surface-10-mil-ultem-pei-w-3m-acrylic-adhesive/36-10a-3d-14x14","CSHyde")</f>
        <v/>
      </c>
      <c r="M115" s="48" t="n"/>
      <c r="N115" s="48" t="n"/>
      <c r="O115" s="48" t="n"/>
      <c r="P115" s="48" t="n"/>
      <c r="Q115" s="48" t="n"/>
      <c r="R115" s="48" t="n"/>
      <c r="S115" s="52" t="inlineStr">
        <is>
          <t>some links were dead</t>
        </is>
      </c>
    </row>
    <row r="116">
      <c r="A116" s="48" t="inlineStr">
        <is>
          <t>Buildplate</t>
        </is>
      </c>
      <c r="B116" s="48" t="inlineStr">
        <is>
          <t>PEI + 3M 468P (200MP)</t>
        </is>
      </c>
      <c r="C116" s="48" t="n"/>
      <c r="D116" s="48" t="inlineStr">
        <is>
          <t>1</t>
        </is>
      </c>
      <c r="E116" s="48" t="inlineStr">
        <is>
          <t>300</t>
        </is>
      </c>
      <c r="F116" s="49">
        <f>HYPERLINK("https://catalog.cshyde.com/item/pei-ultem/int-surface-10-mil-ultem-pei-w-3m-acrylic-adhesive/36-10a-3d-9-84-12-40","CSHyde (Trim)")</f>
        <v/>
      </c>
      <c r="G116" s="48" t="n"/>
      <c r="H116" s="51">
        <f>HYPERLINK("https://catalog.cshyde.com/item/pei-ultem/int-surface-10-mil-ultem-pei-w-3m-acrylic-adhesive/36-10a-3d-12x12","CSHyde")</f>
        <v/>
      </c>
      <c r="I116" s="48" t="n"/>
      <c r="J116" s="51">
        <f>HYPERLINK("https://catalog.cshyde.com/item/pei-sheet-3d-printing-build-surface/10-mil-ultem-pei-w-3m-acrylic-adhesive/36-10a-3d-4-7x4-7","CS Hyde")</f>
        <v/>
      </c>
      <c r="K116" s="48" t="n"/>
      <c r="L116" s="51">
        <f>HYPERLINK("https://catalog.cshyde.com/item/pei-ultem/int-surface-10-mil-ultem-pei-w-3m-acrylic-adhesive/36-10a-3d-14x14","CSHyde")</f>
        <v/>
      </c>
      <c r="M116" s="48" t="n"/>
      <c r="N116" s="48" t="n"/>
      <c r="O116" s="48" t="n"/>
      <c r="P116" s="48" t="n"/>
      <c r="Q116" s="48" t="n"/>
      <c r="R116" s="48" t="n"/>
      <c r="S116" s="52" t="inlineStr">
        <is>
          <t>some links were dead</t>
        </is>
      </c>
    </row>
    <row r="117">
      <c r="A117" s="48" t="inlineStr">
        <is>
          <t>Buildplate</t>
        </is>
      </c>
      <c r="B117" s="48" t="inlineStr">
        <is>
          <t>PEI + 3M 468P (200MP)</t>
        </is>
      </c>
      <c r="C117" s="48" t="n"/>
      <c r="D117" s="48" t="inlineStr">
        <is>
          <t>1</t>
        </is>
      </c>
      <c r="E117" s="48" t="inlineStr">
        <is>
          <t>350</t>
        </is>
      </c>
      <c r="F117" s="49">
        <f>HYPERLINK("https://catalog.cshyde.com/item/pei-ultem/int-surface-10-mil-ultem-pei-w-3m-acrylic-adhesive/36-10a-3d-9-84-12-40","CSHyde (Trim)")</f>
        <v/>
      </c>
      <c r="G117" s="48" t="n"/>
      <c r="H117" s="51">
        <f>HYPERLINK("https://catalog.cshyde.com/item/pei-ultem/int-surface-10-mil-ultem-pei-w-3m-acrylic-adhesive/36-10a-3d-12x12","CSHyde")</f>
        <v/>
      </c>
      <c r="I117" s="48" t="n"/>
      <c r="J117" s="51">
        <f>HYPERLINK("https://catalog.cshyde.com/item/pei-sheet-3d-printing-build-surface/10-mil-ultem-pei-w-3m-acrylic-adhesive/36-10a-3d-4-7x4-7","CS Hyde")</f>
        <v/>
      </c>
      <c r="K117" s="48" t="n"/>
      <c r="L117" s="51">
        <f>HYPERLINK("https://catalog.cshyde.com/item/pei-ultem/int-surface-10-mil-ultem-pei-w-3m-acrylic-adhesive/36-10a-3d-14x14","CSHyde")</f>
        <v/>
      </c>
      <c r="M117" s="48" t="n"/>
      <c r="N117" s="48" t="n"/>
      <c r="O117" s="48" t="n"/>
      <c r="P117" s="48" t="n"/>
      <c r="Q117" s="48" t="n"/>
      <c r="R117" s="48" t="n"/>
      <c r="S117" s="52" t="inlineStr">
        <is>
          <t>some links were dead</t>
        </is>
      </c>
    </row>
    <row r="118">
      <c r="A118" s="48" t="inlineStr">
        <is>
          <t>Buildplate</t>
        </is>
      </c>
      <c r="B118" s="48" t="inlineStr">
        <is>
          <t>Magnetic Sheet + PEI (optional)</t>
        </is>
      </c>
      <c r="C118" s="48" t="n"/>
      <c r="D118" s="48" t="inlineStr">
        <is>
          <t>1</t>
        </is>
      </c>
      <c r="E118" s="48" t="inlineStr">
        <is>
          <t>All</t>
        </is>
      </c>
      <c r="F118" s="49">
        <f>HYPERLINK("https://www.aliexpress.com/item/2251832800625551.html","Aliexpress")</f>
        <v/>
      </c>
      <c r="G118" s="51">
        <f>HYPERLINK("https://s.click.aliexpress.com/e/_DFv4IPv","[Affiliate Link]")</f>
        <v/>
      </c>
      <c r="H118" s="48" t="n"/>
      <c r="I118" s="48" t="n"/>
      <c r="J118" s="48" t="n"/>
      <c r="K118" s="48" t="n"/>
      <c r="L118" s="48" t="n"/>
      <c r="M118" s="48" t="n"/>
      <c r="N118" s="48" t="n"/>
      <c r="O118" s="48" t="n"/>
      <c r="P118" s="48" t="n"/>
      <c r="Q118" s="48" t="n"/>
      <c r="R118" s="48" t="n"/>
      <c r="S118" s="48" t="n"/>
    </row>
    <row r="119">
      <c r="B119" s="53" t="inlineStr">
        <is>
          <t>"As an Amazon Associate we earn from qualifying purchases.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35"/>
  <sheetViews>
    <sheetView workbookViewId="0">
      <pane ySplit="1" topLeftCell="A2" activePane="bottomLeft" state="frozen"/>
      <selection pane="bottomLeft" activeCell="A1" sqref="A1"/>
    </sheetView>
  </sheetViews>
  <sheetFormatPr baseColWidth="8" defaultRowHeight="15"/>
  <cols>
    <col width="19.9" customWidth="1" min="1" max="1"/>
    <col width="34.5" customWidth="1" min="2" max="2"/>
    <col width="17.1" customWidth="1" min="3" max="3"/>
    <col width="7" customWidth="1" min="4" max="4"/>
    <col width="8.5" customWidth="1" min="5" max="5"/>
    <col width="20" customWidth="1" min="6" max="6"/>
    <col width="15" customWidth="1" min="7" max="7"/>
    <col width="20" customWidth="1" min="8" max="8"/>
    <col width="15" customWidth="1" min="9" max="9"/>
    <col width="20" customWidth="1" min="10" max="10"/>
    <col width="15" customWidth="1" min="11" max="11"/>
    <col width="20" customWidth="1" min="12" max="12"/>
    <col width="15" customWidth="1" min="13" max="13"/>
    <col width="20" customWidth="1" min="14" max="14"/>
    <col width="15" customWidth="1" min="15" max="15"/>
    <col width="20" customWidth="1" min="16" max="16"/>
    <col width="15" customWidth="1" min="17" max="17"/>
    <col width="20" customWidth="1" min="18" max="18"/>
    <col width="20" customWidth="1" min="19" max="19"/>
    <col width="20" customWidth="1" min="20" max="20"/>
    <col width="20" customWidth="1" min="21" max="21"/>
    <col width="20" customWidth="1" min="22" max="22"/>
    <col width="90" customWidth="1" min="23" max="23"/>
    <col width="20" customWidth="1" min="24" max="24"/>
  </cols>
  <sheetData>
    <row r="1">
      <c r="A1" s="3" t="inlineStr">
        <is>
          <t>Category</t>
        </is>
      </c>
      <c r="B1" s="3" t="inlineStr">
        <is>
          <t>Component</t>
        </is>
      </c>
      <c r="C1" s="3" t="inlineStr">
        <is>
          <t>Standard</t>
        </is>
      </c>
      <c r="D1" s="3" t="inlineStr">
        <is>
          <t>Qty</t>
        </is>
      </c>
      <c r="E1" s="3" t="inlineStr">
        <is>
          <t>Size</t>
        </is>
      </c>
      <c r="F1" s="4" t="inlineStr">
        <is>
          <t>Recommended</t>
        </is>
      </c>
      <c r="G1" s="3" t="inlineStr"/>
      <c r="H1" s="4" t="inlineStr">
        <is>
          <t>Alternative Source</t>
        </is>
      </c>
      <c r="I1" s="3" t="inlineStr"/>
      <c r="J1" s="4" t="inlineStr">
        <is>
          <t>Alternative Source 2</t>
        </is>
      </c>
      <c r="K1" s="3" t="inlineStr"/>
      <c r="L1" s="4" t="inlineStr">
        <is>
          <t>Alternative Source 3</t>
        </is>
      </c>
      <c r="M1" s="3" t="inlineStr"/>
      <c r="N1" s="4" t="inlineStr">
        <is>
          <t>Alternative Source 4</t>
        </is>
      </c>
      <c r="O1" s="3" t="inlineStr"/>
      <c r="P1" s="4" t="inlineStr">
        <is>
          <t>Alternative Source 5</t>
        </is>
      </c>
      <c r="Q1" s="3" t="inlineStr"/>
      <c r="R1" s="4" t="inlineStr">
        <is>
          <t>Alternative Source 6</t>
        </is>
      </c>
      <c r="S1" s="4" t="inlineStr">
        <is>
          <t>Alternative Source 7</t>
        </is>
      </c>
      <c r="T1" s="4" t="inlineStr">
        <is>
          <t>Alternative Source 8</t>
        </is>
      </c>
      <c r="U1" s="4" t="inlineStr">
        <is>
          <t>Alternative Source 9</t>
        </is>
      </c>
      <c r="V1" s="4" t="inlineStr">
        <is>
          <t>Alternative Source 10</t>
        </is>
      </c>
      <c r="W1" s="3" t="inlineStr">
        <is>
          <t>Notes</t>
        </is>
      </c>
      <c r="X1" s="3" t="inlineStr">
        <is>
          <t>Link check</t>
        </is>
      </c>
    </row>
    <row r="2">
      <c r="A2" s="5" t="inlineStr">
        <is>
          <t>Filament</t>
        </is>
      </c>
      <c r="B2" s="5" t="inlineStr">
        <is>
          <t>Primary Color (Black)</t>
        </is>
      </c>
      <c r="C2" s="5" t="n"/>
      <c r="D2" s="5" t="inlineStr">
        <is>
          <t>2</t>
        </is>
      </c>
      <c r="E2" s="5" t="inlineStr">
        <is>
          <t>All</t>
        </is>
      </c>
      <c r="F2" s="6">
        <f>HYPERLINK("https://www.paramount-3d.com/product-page/absblack","Paramount ABS")</f>
        <v/>
      </c>
      <c r="G2" s="7">
        <f>HYPERLINK("https://amzn.to/2nb63qR","[Affiliate Link]")</f>
        <v/>
      </c>
      <c r="H2" s="5" t="n"/>
      <c r="I2" s="5" t="n"/>
      <c r="J2" s="5" t="n"/>
      <c r="K2" s="5" t="n"/>
      <c r="L2" s="5" t="n"/>
      <c r="M2" s="5" t="n"/>
      <c r="N2" s="5" t="n"/>
      <c r="O2" s="5" t="n"/>
      <c r="P2" s="5" t="n"/>
      <c r="Q2" s="5" t="n"/>
      <c r="R2" s="5" t="n"/>
      <c r="S2" s="5" t="n"/>
      <c r="T2" s="5" t="n"/>
      <c r="U2" s="5" t="n"/>
      <c r="V2" s="5" t="n"/>
      <c r="W2" s="5" t="n"/>
      <c r="X2" s="5" t="n"/>
    </row>
    <row r="3">
      <c r="A3" s="5" t="inlineStr">
        <is>
          <t>Filament</t>
        </is>
      </c>
      <c r="B3" s="5" t="inlineStr">
        <is>
          <t>Secondary Color (Red)</t>
        </is>
      </c>
      <c r="C3" s="5" t="n"/>
      <c r="D3" s="5" t="inlineStr">
        <is>
          <t>1</t>
        </is>
      </c>
      <c r="E3" s="5" t="inlineStr">
        <is>
          <t>All</t>
        </is>
      </c>
      <c r="F3" s="6">
        <f>HYPERLINK("https://www.paramount-3d.com/product-page/abs-pantone-enzo-red-485c-1-75mm-1kg-filament-trrl3020485c","Paramount ABS")</f>
        <v/>
      </c>
      <c r="G3" s="7">
        <f>HYPERLINK("https://amzn.to/2lqEYQ1","[Affiliate Link]")</f>
        <v/>
      </c>
      <c r="H3" s="7">
        <f>HYPERLINK("https://www.amazon.com/dp/B00J0HB1YI","Hatchbox ABS")</f>
        <v/>
      </c>
      <c r="I3" s="7">
        <f>HYPERLINK("https://amzn.to/2ltf8Lj","[Affiliate Link]")</f>
        <v/>
      </c>
      <c r="J3" s="5" t="n"/>
      <c r="K3" s="5" t="n"/>
      <c r="L3" s="5" t="n"/>
      <c r="M3" s="5" t="n"/>
      <c r="N3" s="5" t="n"/>
      <c r="O3" s="5" t="n"/>
      <c r="P3" s="5" t="n"/>
      <c r="Q3" s="5" t="n"/>
      <c r="R3" s="5" t="n"/>
      <c r="S3" s="5" t="n"/>
      <c r="T3" s="5" t="n"/>
      <c r="U3" s="5" t="n"/>
      <c r="V3" s="5" t="n"/>
      <c r="W3" s="5" t="n"/>
      <c r="X3" s="5" t="n"/>
    </row>
    <row r="4">
      <c r="A4" s="5" t="inlineStr">
        <is>
          <t>Printed Parts</t>
        </is>
      </c>
      <c r="B4" s="5" t="inlineStr">
        <is>
          <t>Printed Parts</t>
        </is>
      </c>
      <c r="C4" s="5" t="n"/>
      <c r="D4" s="5" t="inlineStr">
        <is>
          <t>1</t>
        </is>
      </c>
      <c r="E4" s="5" t="inlineStr">
        <is>
          <t>All</t>
        </is>
      </c>
      <c r="F4" s="6">
        <f>HYPERLINK("https://pif.voron.dev/","Print It Forward")</f>
        <v/>
      </c>
      <c r="G4" s="5" t="n"/>
      <c r="H4" s="5" t="inlineStr">
        <is>
          <t>Print Yourself</t>
        </is>
      </c>
      <c r="I4" s="5" t="n"/>
      <c r="J4" s="5" t="n"/>
      <c r="K4" s="5" t="n"/>
      <c r="L4" s="5" t="n"/>
      <c r="M4" s="5" t="n"/>
      <c r="N4" s="5" t="n"/>
      <c r="O4" s="5" t="n"/>
      <c r="P4" s="5" t="n"/>
      <c r="Q4" s="5" t="n"/>
      <c r="R4" s="5" t="n"/>
      <c r="S4" s="5" t="n"/>
      <c r="T4" s="5" t="n"/>
      <c r="U4" s="5" t="n"/>
      <c r="V4" s="5" t="n"/>
      <c r="W4" s="5" t="n"/>
      <c r="X4" s="5" t="n"/>
    </row>
    <row r="5">
      <c r="A5" s="9" t="inlineStr">
        <is>
          <t>Fasteners</t>
        </is>
      </c>
      <c r="B5" s="9" t="inlineStr">
        <is>
          <t>M5x40 BHCS</t>
        </is>
      </c>
      <c r="C5" s="9" t="inlineStr">
        <is>
          <t>ISO 7380-1</t>
        </is>
      </c>
      <c r="D5" s="9" t="inlineStr">
        <is>
          <t>4</t>
        </is>
      </c>
      <c r="E5" s="9" t="inlineStr">
        <is>
          <t>All</t>
        </is>
      </c>
      <c r="F5" s="10">
        <f>HYPERLINK("https://boltdepot.com/Product-Details?product=18955","Bolt Depot")</f>
        <v/>
      </c>
      <c r="G5" s="9" t="n"/>
      <c r="H5" s="11">
        <f>HYPERLINK("https://www.mcmaster.com/91239A240/","McMaster-Carr (10 pack)")</f>
        <v/>
      </c>
      <c r="I5" s="9" t="n"/>
      <c r="J5" s="9" t="n"/>
      <c r="K5" s="9" t="n"/>
      <c r="L5" s="9" t="n"/>
      <c r="M5" s="9" t="n"/>
      <c r="N5" s="9" t="n"/>
      <c r="O5" s="9" t="n"/>
      <c r="P5" s="9" t="n"/>
      <c r="Q5" s="9" t="n"/>
      <c r="R5" s="9" t="n"/>
      <c r="S5" s="9" t="n"/>
      <c r="T5" s="9" t="n"/>
      <c r="U5" s="9" t="n"/>
      <c r="V5" s="9" t="n"/>
      <c r="W5" s="9" t="n"/>
      <c r="X5" s="9" t="n"/>
    </row>
    <row r="6">
      <c r="A6" s="9" t="inlineStr">
        <is>
          <t>Fasteners</t>
        </is>
      </c>
      <c r="B6" s="9" t="inlineStr">
        <is>
          <t>M5x30 BHCS</t>
        </is>
      </c>
      <c r="C6" s="9" t="inlineStr">
        <is>
          <t>ISO 7380-1</t>
        </is>
      </c>
      <c r="D6" s="9" t="inlineStr">
        <is>
          <t>4</t>
        </is>
      </c>
      <c r="E6" s="9" t="inlineStr">
        <is>
          <t>All</t>
        </is>
      </c>
      <c r="F6" s="10">
        <f>HYPERLINK("https://www.boltdepot.com/Product-Details.aspx?product=15651","Bolt Depot")</f>
        <v/>
      </c>
      <c r="G6" s="9" t="n"/>
      <c r="H6" s="11">
        <f>HYPERLINK("https://www.boltdepot.com/Product-Details.aspx?product=13348","Bolt Depot")</f>
        <v/>
      </c>
      <c r="I6" s="9" t="n"/>
      <c r="J6" s="11">
        <f>HYPERLINK("https://www.mcmaster.com/91239A236/","McMaster-Carr (100 pack)")</f>
        <v/>
      </c>
      <c r="K6" s="9" t="n"/>
      <c r="L6" s="9" t="n"/>
      <c r="M6" s="9" t="n"/>
      <c r="N6" s="9" t="n"/>
      <c r="O6" s="9" t="n"/>
      <c r="P6" s="9" t="n"/>
      <c r="Q6" s="9" t="n"/>
      <c r="R6" s="9" t="n"/>
      <c r="S6" s="9" t="n"/>
      <c r="T6" s="9" t="n"/>
      <c r="U6" s="9" t="n"/>
      <c r="V6" s="9" t="n"/>
      <c r="W6" s="9" t="n"/>
      <c r="X6" s="9" t="n"/>
    </row>
    <row r="7">
      <c r="A7" s="9" t="inlineStr">
        <is>
          <t>Fasteners</t>
        </is>
      </c>
      <c r="B7" s="9" t="inlineStr">
        <is>
          <t>M5x16 BHCS</t>
        </is>
      </c>
      <c r="C7" s="9" t="inlineStr">
        <is>
          <t>ISO 7380-1</t>
        </is>
      </c>
      <c r="D7" s="9" t="inlineStr">
        <is>
          <t>58</t>
        </is>
      </c>
      <c r="E7" s="9" t="inlineStr">
        <is>
          <t>All</t>
        </is>
      </c>
      <c r="F7" s="10">
        <f>HYPERLINK("https://www.boltdepot.com/Product-Details.aspx?product=15648","Bolt Depot")</f>
        <v/>
      </c>
      <c r="G7" s="9" t="n"/>
      <c r="H7" s="11">
        <f>HYPERLINK("https://www.boltdepot.com/Product-Details.aspx?product=13345","Bolt Depot")</f>
        <v/>
      </c>
      <c r="I7" s="9" t="n"/>
      <c r="J7" s="11">
        <f>HYPERLINK("https://www.mcmaster.com/91239A232/","McMaster-Carr (100 pack)")</f>
        <v/>
      </c>
      <c r="K7" s="9" t="n"/>
      <c r="L7" s="9" t="n"/>
      <c r="M7" s="9" t="n"/>
      <c r="N7" s="9" t="n"/>
      <c r="O7" s="9" t="n"/>
      <c r="P7" s="9" t="n"/>
      <c r="Q7" s="9" t="n"/>
      <c r="R7" s="9" t="n"/>
      <c r="S7" s="9" t="n"/>
      <c r="T7" s="9" t="n"/>
      <c r="U7" s="9" t="n"/>
      <c r="V7" s="9" t="n"/>
      <c r="W7" s="9" t="n"/>
      <c r="X7" s="9" t="n"/>
    </row>
    <row r="8">
      <c r="A8" s="9" t="inlineStr">
        <is>
          <t>Fasteners</t>
        </is>
      </c>
      <c r="B8" s="9" t="inlineStr">
        <is>
          <t>M5x10 BHCS</t>
        </is>
      </c>
      <c r="C8" s="9" t="inlineStr">
        <is>
          <t>ISO 7380-1</t>
        </is>
      </c>
      <c r="D8" s="9" t="inlineStr">
        <is>
          <t>45</t>
        </is>
      </c>
      <c r="E8" s="9" t="inlineStr">
        <is>
          <t>All</t>
        </is>
      </c>
      <c r="F8" s="10">
        <f>HYPERLINK("https://www.boltdepot.com/Product-Details.aspx?product=15646","Bolt Depot")</f>
        <v/>
      </c>
      <c r="G8" s="9" t="n"/>
      <c r="H8" s="11">
        <f>HYPERLINK("https://www.boltdepot.com/Product-Details.aspx?product=13343","Bolt Depot")</f>
        <v/>
      </c>
      <c r="I8" s="9" t="n"/>
      <c r="J8" s="11">
        <f>HYPERLINK("https://www.mcmaster.com/91239A224/","McMaster-Carr (100 pack)")</f>
        <v/>
      </c>
      <c r="K8" s="9" t="n"/>
      <c r="L8" s="9" t="n"/>
      <c r="M8" s="9" t="n"/>
      <c r="N8" s="9" t="n"/>
      <c r="O8" s="9" t="n"/>
      <c r="P8" s="9" t="n"/>
      <c r="Q8" s="9" t="n"/>
      <c r="R8" s="9" t="n"/>
      <c r="S8" s="9" t="n"/>
      <c r="T8" s="9" t="n"/>
      <c r="U8" s="9" t="n"/>
      <c r="V8" s="9" t="n"/>
      <c r="W8" s="9" t="n"/>
      <c r="X8" s="9" t="n"/>
    </row>
    <row r="9">
      <c r="A9" s="9" t="inlineStr">
        <is>
          <t>Fasteners</t>
        </is>
      </c>
      <c r="B9" s="9" t="inlineStr">
        <is>
          <t>M5 Heat Set Inserts (M5xD7xL6)</t>
        </is>
      </c>
      <c r="C9" s="9" t="n"/>
      <c r="D9" s="9" t="inlineStr">
        <is>
          <t>15</t>
        </is>
      </c>
      <c r="E9" s="9" t="inlineStr">
        <is>
          <t>All</t>
        </is>
      </c>
      <c r="F9" s="10">
        <f>HYPERLINK("https://cnckitchenus.store/products/heat-set-insert-m5-x-5-8-short-version-50-pieces","CNC Kitchen")</f>
        <v/>
      </c>
      <c r="G9" s="9" t="n"/>
      <c r="H9" s="9" t="n"/>
      <c r="I9" s="9" t="n"/>
      <c r="J9" s="9" t="n"/>
      <c r="K9" s="9" t="n"/>
      <c r="L9" s="9" t="n"/>
      <c r="M9" s="9" t="n"/>
      <c r="N9" s="9" t="n"/>
      <c r="O9" s="9" t="n"/>
      <c r="P9" s="9" t="n"/>
      <c r="Q9" s="9" t="n"/>
      <c r="R9" s="9" t="n"/>
      <c r="S9" s="9" t="n"/>
      <c r="T9" s="9" t="n"/>
      <c r="U9" s="9" t="n"/>
      <c r="V9" s="9" t="n"/>
      <c r="W9" s="9" t="n"/>
      <c r="X9" s="9" t="n"/>
    </row>
    <row r="10">
      <c r="A10" s="9" t="inlineStr">
        <is>
          <t>Fasteners</t>
        </is>
      </c>
      <c r="B10" s="9" t="inlineStr">
        <is>
          <t>M5 1.0mm Thick Shim/Washer</t>
        </is>
      </c>
      <c r="C10" s="9" t="inlineStr">
        <is>
          <t>DIN 988</t>
        </is>
      </c>
      <c r="D10" s="9" t="inlineStr">
        <is>
          <t>24</t>
        </is>
      </c>
      <c r="E10" s="9" t="inlineStr">
        <is>
          <t>All</t>
        </is>
      </c>
      <c r="F10" s="10">
        <f>HYPERLINK("https://www.aliexpress.com/item/32917948919.html","Aliexpress")</f>
        <v/>
      </c>
      <c r="G10" s="11">
        <f>HYPERLINK("https://s.click.aliexpress.com/e/_9vyYqu","[Affiliate Link]")</f>
        <v/>
      </c>
      <c r="H10" s="11">
        <f>HYPERLINK("https://www.mcmaster.com/98055A099/","McMaster-Carr (50 pack)")</f>
        <v/>
      </c>
      <c r="I10" s="9" t="n"/>
      <c r="J10" s="9" t="n"/>
      <c r="K10" s="9" t="n"/>
      <c r="L10" s="9" t="n"/>
      <c r="M10" s="9" t="n"/>
      <c r="N10" s="9" t="n"/>
      <c r="O10" s="9" t="n"/>
      <c r="P10" s="9" t="n"/>
      <c r="Q10" s="9" t="n"/>
      <c r="R10" s="9" t="n"/>
      <c r="S10" s="9" t="n"/>
      <c r="T10" s="9" t="n"/>
      <c r="U10" s="9" t="n"/>
      <c r="V10" s="9" t="n"/>
      <c r="W10" s="9" t="n"/>
      <c r="X10" s="9" t="n"/>
    </row>
    <row r="11">
      <c r="A11" s="9" t="inlineStr">
        <is>
          <t>Fasteners</t>
        </is>
      </c>
      <c r="B11" s="9" t="inlineStr">
        <is>
          <t>M5 T-Nut</t>
        </is>
      </c>
      <c r="C11" s="9" t="n"/>
      <c r="D11" s="9" t="inlineStr">
        <is>
          <t>69</t>
        </is>
      </c>
      <c r="E11" s="9" t="inlineStr">
        <is>
          <t>All</t>
        </is>
      </c>
      <c r="F11" s="10">
        <f>HYPERLINK("https://www.aliexpress.com/item/32805163712.html","ZFhong")</f>
        <v/>
      </c>
      <c r="G11" s="11">
        <f>HYPERLINK("https://s.click.aliexpress.com/e/_A7AOVO","[Affiliate Link]")</f>
        <v/>
      </c>
      <c r="H11" s="11">
        <f>HYPERLINK("https://www.aliexpress.com/item/32706208829.html","Link CNC")</f>
        <v/>
      </c>
      <c r="I11" s="11">
        <f>HYPERLINK("https://s.click.aliexpress.com/e/_9AnI1m","[Affiliate Link]")</f>
        <v/>
      </c>
      <c r="J11" s="11">
        <f>HYPERLINK("https://us.misumi-ec.com/vona2/detail/110302247910","Misumi")</f>
        <v/>
      </c>
      <c r="K11" s="9" t="n"/>
      <c r="L11" s="9" t="n"/>
      <c r="M11" s="9" t="n"/>
      <c r="N11" s="9" t="n"/>
      <c r="O11" s="9" t="n"/>
      <c r="P11" s="9" t="n"/>
      <c r="Q11" s="9" t="n"/>
      <c r="R11" s="9" t="n"/>
      <c r="S11" s="9" t="n"/>
      <c r="T11" s="9" t="n"/>
      <c r="U11" s="9" t="n"/>
      <c r="V11" s="9" t="n"/>
      <c r="W11" s="9" t="n"/>
      <c r="X11" s="9" t="n"/>
    </row>
    <row r="12">
      <c r="A12" s="9" t="inlineStr">
        <is>
          <t>Fasteners</t>
        </is>
      </c>
      <c r="B12" s="9" t="inlineStr">
        <is>
          <t>M4x6 BHCS</t>
        </is>
      </c>
      <c r="C12" s="9" t="inlineStr">
        <is>
          <t>ISO 7380-1</t>
        </is>
      </c>
      <c r="D12" s="9" t="inlineStr">
        <is>
          <t>7</t>
        </is>
      </c>
      <c r="E12" s="9" t="inlineStr">
        <is>
          <t>All</t>
        </is>
      </c>
      <c r="F12" s="10">
        <f>HYPERLINK("https://www.boltdepot.com/Product-Details.aspx?product=18944","Bolt Depot")</f>
        <v/>
      </c>
      <c r="G12" s="9" t="n"/>
      <c r="H12" s="11">
        <f>HYPERLINK("https://www.mcmaster.com/91239A138/","McMaster-Carr (100 pack)")</f>
        <v/>
      </c>
      <c r="I12" s="9" t="n"/>
      <c r="J12" s="9" t="n"/>
      <c r="K12" s="9" t="n"/>
      <c r="L12" s="9" t="n"/>
      <c r="M12" s="9" t="n"/>
      <c r="N12" s="9" t="n"/>
      <c r="O12" s="9" t="n"/>
      <c r="P12" s="9" t="n"/>
      <c r="Q12" s="9" t="n"/>
      <c r="R12" s="9" t="n"/>
      <c r="S12" s="9" t="n"/>
      <c r="T12" s="9" t="n"/>
      <c r="U12" s="9" t="n"/>
      <c r="V12" s="9" t="n"/>
      <c r="W12" s="9" t="n"/>
      <c r="X12" s="9" t="n"/>
    </row>
    <row r="13">
      <c r="A13" s="9" t="inlineStr">
        <is>
          <t>Fasteners</t>
        </is>
      </c>
      <c r="B13" s="9" t="inlineStr">
        <is>
          <t>M4 Thumb Nuts</t>
        </is>
      </c>
      <c r="C13" s="9" t="n"/>
      <c r="D13" s="9" t="inlineStr">
        <is>
          <t>3</t>
        </is>
      </c>
      <c r="E13" s="9" t="inlineStr">
        <is>
          <t>All</t>
        </is>
      </c>
      <c r="F13" s="10">
        <f>HYPERLINK("https://www.aliexpress.com/item/4000010655936.html","Aliexpress")</f>
        <v/>
      </c>
      <c r="G13" s="9" t="n"/>
      <c r="H13" s="11">
        <f>HYPERLINK("https://www.amazon.com/dp/B01IVU642I","Amazon")</f>
        <v/>
      </c>
      <c r="I13" s="9" t="n"/>
      <c r="J13" s="9" t="n"/>
      <c r="K13" s="9" t="n"/>
      <c r="L13" s="9" t="n"/>
      <c r="M13" s="9" t="n"/>
      <c r="N13" s="9" t="n"/>
      <c r="O13" s="9" t="n"/>
      <c r="P13" s="9" t="n"/>
      <c r="Q13" s="9" t="n"/>
      <c r="R13" s="9" t="n"/>
      <c r="S13" s="9" t="n"/>
      <c r="T13" s="9" t="n"/>
      <c r="U13" s="9" t="n"/>
      <c r="V13" s="9" t="n"/>
      <c r="W13" s="9" t="n"/>
      <c r="X13" s="9" t="n"/>
    </row>
    <row r="14">
      <c r="A14" s="9" t="inlineStr">
        <is>
          <t>Fasteners</t>
        </is>
      </c>
      <c r="B14" s="9" t="inlineStr">
        <is>
          <t>M3x40 SHCS</t>
        </is>
      </c>
      <c r="C14" s="9" t="inlineStr">
        <is>
          <t>ISO 4762 / DIN 912</t>
        </is>
      </c>
      <c r="D14" s="9" t="inlineStr">
        <is>
          <t>9</t>
        </is>
      </c>
      <c r="E14" s="9" t="inlineStr">
        <is>
          <t>All</t>
        </is>
      </c>
      <c r="F14" s="10">
        <f>HYPERLINK("https://www.boltdepot.com/Product-Details.aspx?product=6387","Bolt Depot")</f>
        <v/>
      </c>
      <c r="G14" s="9" t="n"/>
      <c r="H14" s="11">
        <f>HYPERLINK("https://www.mcmaster.com/91290A136/","McMaster-Carr (25 pack)")</f>
        <v/>
      </c>
      <c r="I14" s="9" t="n"/>
      <c r="J14" s="9" t="n"/>
      <c r="K14" s="9" t="n"/>
      <c r="L14" s="9" t="n"/>
      <c r="M14" s="9" t="n"/>
      <c r="N14" s="9" t="n"/>
      <c r="O14" s="9" t="n"/>
      <c r="P14" s="9" t="n"/>
      <c r="Q14" s="9" t="n"/>
      <c r="R14" s="9" t="n"/>
      <c r="S14" s="9" t="n"/>
      <c r="T14" s="9" t="n"/>
      <c r="U14" s="9" t="n"/>
      <c r="V14" s="9" t="n"/>
      <c r="W14" s="13" t="inlineStr">
        <is>
          <t>Bolt depot only carries these in stainless. Try another source if you want black.</t>
        </is>
      </c>
      <c r="X14" s="9" t="n"/>
    </row>
    <row r="15">
      <c r="A15" s="9" t="inlineStr">
        <is>
          <t>Fasteners</t>
        </is>
      </c>
      <c r="B15" s="9" t="inlineStr">
        <is>
          <t>M3x30 SHCS</t>
        </is>
      </c>
      <c r="C15" s="9" t="inlineStr">
        <is>
          <t>ISO 4762 / DIN 912</t>
        </is>
      </c>
      <c r="D15" s="9" t="inlineStr">
        <is>
          <t>13</t>
        </is>
      </c>
      <c r="E15" s="9" t="inlineStr">
        <is>
          <t>All</t>
        </is>
      </c>
      <c r="F15" s="10">
        <f>HYPERLINK("https://www.boltdepot.com/Product-Details.aspx?product=13641","Bolt Depot")</f>
        <v/>
      </c>
      <c r="G15" s="9" t="n"/>
      <c r="H15" s="11">
        <f>HYPERLINK("https://www.mcmaster.com/91290A171/","McMaster-Carr (10 pack)")</f>
        <v/>
      </c>
      <c r="I15" s="9" t="n"/>
      <c r="J15" s="9" t="n"/>
      <c r="K15" s="9" t="n"/>
      <c r="L15" s="9" t="n"/>
      <c r="M15" s="9" t="n"/>
      <c r="N15" s="9" t="n"/>
      <c r="O15" s="9" t="n"/>
      <c r="P15" s="9" t="n"/>
      <c r="Q15" s="9" t="n"/>
      <c r="R15" s="9" t="n"/>
      <c r="S15" s="9" t="n"/>
      <c r="T15" s="9" t="n"/>
      <c r="U15" s="9" t="n"/>
      <c r="V15" s="9" t="n"/>
      <c r="W15" s="9" t="n"/>
      <c r="X15" s="9" t="n"/>
    </row>
    <row r="16">
      <c r="A16" s="9" t="inlineStr">
        <is>
          <t>Fasteners</t>
        </is>
      </c>
      <c r="B16" s="9" t="inlineStr">
        <is>
          <t>M3x20 SHCS</t>
        </is>
      </c>
      <c r="C16" s="9" t="inlineStr">
        <is>
          <t>ISO 4762 / DIN 912</t>
        </is>
      </c>
      <c r="D16" s="9" t="inlineStr">
        <is>
          <t>3</t>
        </is>
      </c>
      <c r="E16" s="9" t="inlineStr">
        <is>
          <t>All</t>
        </is>
      </c>
      <c r="F16" s="10">
        <f>HYPERLINK("https://www.boltdepot.com/Product-Details.aspx?product=13639","Bolt Depot")</f>
        <v/>
      </c>
      <c r="G16" s="9" t="n"/>
      <c r="H16" s="11">
        <f>HYPERLINK("https://www.mcmaster.com/91290A123/","McMaster-Carr (100 pack)")</f>
        <v/>
      </c>
      <c r="I16" s="9" t="n"/>
      <c r="J16" s="9" t="n"/>
      <c r="K16" s="9" t="n"/>
      <c r="L16" s="9" t="n"/>
      <c r="M16" s="9" t="n"/>
      <c r="N16" s="9" t="n"/>
      <c r="O16" s="9" t="n"/>
      <c r="P16" s="9" t="n"/>
      <c r="Q16" s="9" t="n"/>
      <c r="R16" s="9" t="n"/>
      <c r="S16" s="9" t="n"/>
      <c r="T16" s="9" t="n"/>
      <c r="U16" s="9" t="n"/>
      <c r="V16" s="9" t="n"/>
      <c r="W16" s="9" t="n"/>
      <c r="X16" s="9" t="n"/>
    </row>
    <row r="17">
      <c r="A17" s="9" t="inlineStr">
        <is>
          <t>Fasteners</t>
        </is>
      </c>
      <c r="B17" s="9" t="inlineStr">
        <is>
          <t>M3x16 SHCS</t>
        </is>
      </c>
      <c r="C17" s="9" t="inlineStr">
        <is>
          <t>ISO 4762 / DIN 912</t>
        </is>
      </c>
      <c r="D17" s="9" t="inlineStr">
        <is>
          <t>27</t>
        </is>
      </c>
      <c r="E17" s="9" t="inlineStr">
        <is>
          <t>All</t>
        </is>
      </c>
      <c r="F17" s="10">
        <f>HYPERLINK("https://www.boltdepot.com/Product-Details.aspx?product=13638","Bolt Depot")</f>
        <v/>
      </c>
      <c r="G17" s="9" t="n"/>
      <c r="H17" s="11">
        <f>HYPERLINK("https://www.mcmaster.com/91290A120/","McMaster-Carr (100 pack)")</f>
        <v/>
      </c>
      <c r="I17" s="9" t="n"/>
      <c r="J17" s="9" t="n"/>
      <c r="K17" s="9" t="n"/>
      <c r="L17" s="9" t="n"/>
      <c r="M17" s="9" t="n"/>
      <c r="N17" s="9" t="n"/>
      <c r="O17" s="9" t="n"/>
      <c r="P17" s="9" t="n"/>
      <c r="Q17" s="9" t="n"/>
      <c r="R17" s="9" t="n"/>
      <c r="S17" s="9" t="n"/>
      <c r="T17" s="9" t="n"/>
      <c r="U17" s="9" t="n"/>
      <c r="V17" s="9" t="n"/>
      <c r="W17" s="9" t="n"/>
      <c r="X17" s="9" t="n"/>
    </row>
    <row r="18">
      <c r="A18" s="9" t="inlineStr">
        <is>
          <t>Fasteners</t>
        </is>
      </c>
      <c r="B18" s="9" t="inlineStr">
        <is>
          <t>M3x12 SHCS</t>
        </is>
      </c>
      <c r="C18" s="9" t="inlineStr">
        <is>
          <t>ISO 4762 / DIN 912</t>
        </is>
      </c>
      <c r="D18" s="9" t="inlineStr">
        <is>
          <t>73</t>
        </is>
      </c>
      <c r="E18" s="9" t="inlineStr">
        <is>
          <t>All</t>
        </is>
      </c>
      <c r="F18" s="10">
        <f>HYPERLINK("https://www.boltdepot.com/Product-Details.aspx?product=13637","Bolt Depot")</f>
        <v/>
      </c>
      <c r="G18" s="9" t="n"/>
      <c r="H18" s="11">
        <f>HYPERLINK("https://www.mcmaster.com/91290A117/","McMaster-Carr (100 pack)")</f>
        <v/>
      </c>
      <c r="I18" s="9" t="n"/>
      <c r="J18" s="9" t="n"/>
      <c r="K18" s="9" t="n"/>
      <c r="L18" s="9" t="n"/>
      <c r="M18" s="9" t="n"/>
      <c r="N18" s="9" t="n"/>
      <c r="O18" s="9" t="n"/>
      <c r="P18" s="9" t="n"/>
      <c r="Q18" s="9" t="n"/>
      <c r="R18" s="9" t="n"/>
      <c r="S18" s="9" t="n"/>
      <c r="T18" s="9" t="n"/>
      <c r="U18" s="9" t="n"/>
      <c r="V18" s="9" t="n"/>
      <c r="W18" s="9" t="n"/>
      <c r="X18" s="9" t="n"/>
    </row>
    <row r="19">
      <c r="A19" s="9" t="inlineStr">
        <is>
          <t>Fasteners</t>
        </is>
      </c>
      <c r="B19" s="9" t="inlineStr">
        <is>
          <t>M3x8 SHCS</t>
        </is>
      </c>
      <c r="C19" s="9" t="inlineStr">
        <is>
          <t>ISO 4762 / DIN 912</t>
        </is>
      </c>
      <c r="D19" s="9" t="inlineStr">
        <is>
          <t>140</t>
        </is>
      </c>
      <c r="E19" s="9" t="inlineStr">
        <is>
          <t>plus 12 per size up</t>
        </is>
      </c>
      <c r="F19" s="10">
        <f>HYPERLINK("https://www.boltdepot.com/Product-Details.aspx?product=13635","Bolt Depot")</f>
        <v/>
      </c>
      <c r="G19" s="9" t="n"/>
      <c r="H19" s="11">
        <f>HYPERLINK("https://www.boltdepot.com/Product-Details.aspx?product=13633","Bolt Depot")</f>
        <v/>
      </c>
      <c r="I19" s="9" t="n"/>
      <c r="J19" s="11">
        <f>HYPERLINK("https://www.mcmaster.com/91290A113/","McMaster-Carr (100 pack)")</f>
        <v/>
      </c>
      <c r="K19" s="9" t="n"/>
      <c r="L19" s="9" t="n"/>
      <c r="M19" s="9" t="n"/>
      <c r="N19" s="9" t="n"/>
      <c r="O19" s="9" t="n"/>
      <c r="P19" s="9" t="n"/>
      <c r="Q19" s="9" t="n"/>
      <c r="R19" s="9" t="n"/>
      <c r="S19" s="9" t="n"/>
      <c r="T19" s="9" t="n"/>
      <c r="U19" s="9" t="n"/>
      <c r="V19" s="9" t="n"/>
      <c r="W19" s="9" t="n"/>
      <c r="X19" s="9" t="n"/>
    </row>
    <row r="20">
      <c r="A20" s="9" t="inlineStr">
        <is>
          <t>Fasteners</t>
        </is>
      </c>
      <c r="B20" s="9" t="inlineStr">
        <is>
          <t>M3x6 BHCS</t>
        </is>
      </c>
      <c r="C20" s="9" t="inlineStr">
        <is>
          <t>ISO 7380-1</t>
        </is>
      </c>
      <c r="D20" s="9" t="inlineStr">
        <is>
          <t>59</t>
        </is>
      </c>
      <c r="E20" s="9" t="inlineStr">
        <is>
          <t>All</t>
        </is>
      </c>
      <c r="F20" s="10">
        <f>HYPERLINK("https://www.boltdepot.com/Product-Details.aspx?product=13334","Bolt Depot")</f>
        <v/>
      </c>
      <c r="G20" s="9" t="n"/>
      <c r="H20" s="11">
        <f>HYPERLINK("https://www.boltdepot.com/Metric_socket_button_head_Class_12.9_alloy_steel_black_oxide_finish_3mm_x_0.5mm.aspx","Bolt Depot")</f>
        <v/>
      </c>
      <c r="I20" s="9" t="n"/>
      <c r="J20" s="11">
        <f>HYPERLINK("https://www.mcmaster.com/91239A111/","McMaster-Carr (100 pack)")</f>
        <v/>
      </c>
      <c r="K20" s="9" t="n"/>
      <c r="L20" s="11">
        <f>HYPERLINK("https://s.click.aliexpress.com/e/_d7V4XEq","Aliexpress")</f>
        <v/>
      </c>
      <c r="M20" s="9" t="n"/>
      <c r="N20" s="9" t="n"/>
      <c r="O20" s="9" t="n"/>
      <c r="P20" s="9" t="n"/>
      <c r="Q20" s="9" t="n"/>
      <c r="R20" s="9" t="n"/>
      <c r="S20" s="9" t="n"/>
      <c r="T20" s="9" t="n"/>
      <c r="U20" s="9" t="n"/>
      <c r="V20" s="9" t="n"/>
      <c r="W20" s="9" t="n"/>
      <c r="X20" s="9" t="n"/>
    </row>
    <row r="21">
      <c r="A21" s="9" t="inlineStr">
        <is>
          <t>Fasteners</t>
        </is>
      </c>
      <c r="B21" s="9" t="inlineStr">
        <is>
          <t>M3x6 FHCS</t>
        </is>
      </c>
      <c r="C21" s="9" t="inlineStr">
        <is>
          <t>ISO 10642 / DIN 7991</t>
        </is>
      </c>
      <c r="D21" s="9" t="inlineStr">
        <is>
          <t>17</t>
        </is>
      </c>
      <c r="E21" s="9" t="inlineStr">
        <is>
          <t>All</t>
        </is>
      </c>
      <c r="F21" s="10">
        <f>HYPERLINK("https://www.boltdepot.com/Product-Details.aspx?product=13249","Bolt Depot")</f>
        <v/>
      </c>
      <c r="G21" s="9" t="n"/>
      <c r="H21" s="11">
        <f>HYPERLINK("https://www.mcmaster.com/91294A126/","McMaster-Carr (100 pack)")</f>
        <v/>
      </c>
      <c r="I21" s="9" t="n"/>
      <c r="J21" s="9" t="n"/>
      <c r="K21" s="9" t="n"/>
      <c r="L21" s="9" t="n"/>
      <c r="M21" s="9" t="n"/>
      <c r="N21" s="9" t="n"/>
      <c r="O21" s="9" t="n"/>
      <c r="P21" s="9" t="n"/>
      <c r="Q21" s="9" t="n"/>
      <c r="R21" s="9" t="n"/>
      <c r="S21" s="9" t="n"/>
      <c r="T21" s="9" t="n"/>
      <c r="U21" s="9" t="n"/>
      <c r="V21" s="9" t="n"/>
      <c r="W21" s="9" t="n"/>
      <c r="X21" s="9" t="n"/>
    </row>
    <row r="22">
      <c r="A22" s="9" t="inlineStr">
        <is>
          <t>Fasteners</t>
        </is>
      </c>
      <c r="B22" s="9" t="inlineStr">
        <is>
          <t>M3 Washer</t>
        </is>
      </c>
      <c r="C22" s="9" t="inlineStr">
        <is>
          <t>ISO 7089 / DIN 125</t>
        </is>
      </c>
      <c r="D22" s="9" t="inlineStr">
        <is>
          <t>4</t>
        </is>
      </c>
      <c r="E22" s="9" t="inlineStr">
        <is>
          <t>All</t>
        </is>
      </c>
      <c r="F22" s="10">
        <f>HYPERLINK("https://www.boltdepot.com/Product-Details.aspx?product=4513","Bolt Depot")</f>
        <v/>
      </c>
      <c r="G22" s="9" t="n"/>
      <c r="H22" s="11">
        <f>HYPERLINK("https://www.mcmaster.com/93475A210/","McMaster-Carr (100 pack)")</f>
        <v/>
      </c>
      <c r="I22" s="9" t="n"/>
      <c r="J22" s="9" t="n"/>
      <c r="K22" s="9" t="n"/>
      <c r="L22" s="9" t="n"/>
      <c r="M22" s="9" t="n"/>
      <c r="N22" s="9" t="n"/>
      <c r="O22" s="9" t="n"/>
      <c r="P22" s="9" t="n"/>
      <c r="Q22" s="9" t="n"/>
      <c r="R22" s="9" t="n"/>
      <c r="S22" s="9" t="n"/>
      <c r="T22" s="9" t="n"/>
      <c r="U22" s="9" t="n"/>
      <c r="V22" s="9" t="n"/>
      <c r="W22" s="13" t="inlineStr">
        <is>
          <t>Bolt depot only carries these in stainless. Try another source if you want black.</t>
        </is>
      </c>
      <c r="X22" s="9" t="n"/>
    </row>
    <row r="23">
      <c r="A23" s="9" t="inlineStr">
        <is>
          <t>Fasteners</t>
        </is>
      </c>
      <c r="B23" s="9" t="inlineStr">
        <is>
          <t>M3 Locknut</t>
        </is>
      </c>
      <c r="C23" s="9" t="inlineStr">
        <is>
          <t>DIN 985</t>
        </is>
      </c>
      <c r="D23" s="9" t="inlineStr">
        <is>
          <t>6</t>
        </is>
      </c>
      <c r="E23" s="9" t="inlineStr">
        <is>
          <t>All</t>
        </is>
      </c>
      <c r="F23" s="10">
        <f>HYPERLINK("https://www.boltdepot.com/Product-Details.aspx?product=4370","Bolt Depot")</f>
        <v/>
      </c>
      <c r="G23" s="9" t="n"/>
      <c r="H23" s="11">
        <f>HYPERLINK("https://www.boltdepot.com/Product-Details.aspx?product=4792","Bolt Depot")</f>
        <v/>
      </c>
      <c r="I23" s="9" t="n"/>
      <c r="J23" s="11">
        <f>HYPERLINK("https://www.mcmaster.com/90576A102/","McMaster-Carr (100 pack)")</f>
        <v/>
      </c>
      <c r="K23" s="9" t="n"/>
      <c r="L23" s="11">
        <f>HYPERLINK("https://www.aliexpress.com/item/32988995881.html","Aliexpress")</f>
        <v/>
      </c>
      <c r="M23" s="9" t="n"/>
      <c r="N23" s="11">
        <f>HYPERLINK("https://www.amazon.com/dp/B07BD24MXV","Amazon")</f>
        <v/>
      </c>
      <c r="O23" s="9" t="n"/>
      <c r="P23" s="11">
        <f>HYPERLINK("https://www.mcmaster.com/93625A100/","McMaster-Carr (100 pack)")</f>
        <v/>
      </c>
      <c r="Q23" s="9" t="n"/>
      <c r="R23" s="9" t="n"/>
      <c r="S23" s="9" t="n"/>
      <c r="T23" s="9" t="n"/>
      <c r="U23" s="9" t="n"/>
      <c r="V23" s="9" t="n"/>
      <c r="W23" s="13" t="inlineStr">
        <is>
          <t>Bolt depot and Mcmaster only carry these in stainless. Try another source if you want black.</t>
        </is>
      </c>
      <c r="X23" s="9" t="n"/>
    </row>
    <row r="24">
      <c r="A24" s="9" t="inlineStr">
        <is>
          <t>Fasteners</t>
        </is>
      </c>
      <c r="B24" s="9" t="inlineStr">
        <is>
          <t>M3 Roll-in T-Nut</t>
        </is>
      </c>
      <c r="C24" s="9" t="n"/>
      <c r="D24" s="9" t="inlineStr">
        <is>
          <t>86</t>
        </is>
      </c>
      <c r="E24" s="9" t="inlineStr">
        <is>
          <t>All</t>
        </is>
      </c>
      <c r="F24" s="10">
        <f>HYPERLINK("https://www.aliexpress.com/item/32805163712.html","ZFhong")</f>
        <v/>
      </c>
      <c r="G24" s="11">
        <f>HYPERLINK("https://s.click.aliexpress.com/e/_AaU1Qc","[Affiliate Link]")</f>
        <v/>
      </c>
      <c r="H24" s="11">
        <f>HYPERLINK("https://us.misumi-ec.com/vona2/detail/110302247910","Misumi")</f>
        <v/>
      </c>
      <c r="I24" s="9" t="n"/>
      <c r="J24" s="11">
        <f>HYPERLINK("https://www.aliexpress.com/item/32706208829.html","Link CNC")</f>
        <v/>
      </c>
      <c r="K24" s="11">
        <f>HYPERLINK("https://s.click.aliexpress.com/e/_AK4KP2","[Affiliate Link]")</f>
        <v/>
      </c>
      <c r="L24" s="9" t="n"/>
      <c r="M24" s="9" t="n"/>
      <c r="N24" s="9" t="n"/>
      <c r="O24" s="9" t="n"/>
      <c r="P24" s="9" t="n"/>
      <c r="Q24" s="9" t="n"/>
      <c r="R24" s="9" t="n"/>
      <c r="S24" s="9" t="n"/>
      <c r="T24" s="9" t="n"/>
      <c r="U24" s="9" t="n"/>
      <c r="V24" s="9" t="n"/>
      <c r="W24" s="9" t="n"/>
      <c r="X24" s="9" t="n"/>
    </row>
    <row r="25">
      <c r="A25" s="9" t="inlineStr">
        <is>
          <t>Fasteners</t>
        </is>
      </c>
      <c r="B25" s="9" t="inlineStr">
        <is>
          <t>M3 Hammer Head T-Nuts</t>
        </is>
      </c>
      <c r="C25" s="9" t="n"/>
      <c r="D25" s="9" t="inlineStr">
        <is>
          <t>55</t>
        </is>
      </c>
      <c r="E25" s="9" t="inlineStr">
        <is>
          <t>All</t>
        </is>
      </c>
      <c r="F25" s="10">
        <f>HYPERLINK("https://www.amazon.com/dp/B07SDFCTD4","Amazon")</f>
        <v/>
      </c>
      <c r="G25" s="9" t="n"/>
      <c r="H25" s="9" t="n"/>
      <c r="I25" s="9" t="n"/>
      <c r="J25" s="9" t="n"/>
      <c r="K25" s="9" t="n"/>
      <c r="L25" s="9" t="n"/>
      <c r="M25" s="9" t="n"/>
      <c r="N25" s="9" t="n"/>
      <c r="O25" s="9" t="n"/>
      <c r="P25" s="9" t="n"/>
      <c r="Q25" s="9" t="n"/>
      <c r="R25" s="9" t="n"/>
      <c r="S25" s="9" t="n"/>
      <c r="T25" s="9" t="n"/>
      <c r="U25" s="9" t="n"/>
      <c r="V25" s="9" t="n"/>
      <c r="W25" s="9" t="n"/>
      <c r="X25" s="12" t="inlineStr">
        <is>
          <t>some links were dead</t>
        </is>
      </c>
    </row>
    <row r="26">
      <c r="A26" s="9" t="inlineStr">
        <is>
          <t>Fasteners</t>
        </is>
      </c>
      <c r="B26" s="9" t="inlineStr">
        <is>
          <t>M3 Heat Set Insert (M3x5x4)</t>
        </is>
      </c>
      <c r="C26" s="9" t="n"/>
      <c r="D26" s="9" t="inlineStr">
        <is>
          <t>109</t>
        </is>
      </c>
      <c r="E26" s="9" t="inlineStr">
        <is>
          <t>All</t>
        </is>
      </c>
      <c r="F26" s="10">
        <f>HYPERLINK("https://www.aliexpress.com/item/4000232858343.html","Aliexpress - M3x5x4")</f>
        <v/>
      </c>
      <c r="G26" s="11">
        <f>HYPERLINK("https://s.click.aliexpress.com/e/_dW3Uprs","[Affiliate Link]")</f>
        <v/>
      </c>
      <c r="H26" s="11">
        <f>HYPERLINK("https://s.click.aliexpress.com/e/_ANjqIj","Aliexpress")</f>
        <v/>
      </c>
      <c r="I26" s="9" t="n"/>
      <c r="J26" s="11">
        <f>HYPERLINK("https://www.amazon.com/dp/B077CJV3Z9","Amazon")</f>
        <v/>
      </c>
      <c r="K26" s="9" t="n"/>
      <c r="L26" s="11">
        <f>HYPERLINK("https://s.click.aliexpress.com/e/_dWMOd8C","Aliexpress - M3x5x4")</f>
        <v/>
      </c>
      <c r="M26" s="9" t="n"/>
      <c r="N26" s="11">
        <f>HYPERLINK("https://www.mcmaster.com/94180A331/","McMaster-Carr")</f>
        <v/>
      </c>
      <c r="O26" s="9" t="n"/>
      <c r="P26" s="11">
        <f>HYPERLINK("https://s.click.aliexpress.com/e/_dW3Uprs","AliExpress")</f>
        <v/>
      </c>
      <c r="Q26" s="9" t="n"/>
      <c r="R26" s="11">
        <f>HYPERLINK("https://cnckitchenus.store/products/made-for-voron-gewindeeinsatz-threaded-insert-m3x5x4-100-stk-pcs","CNC Kitchen")</f>
        <v/>
      </c>
      <c r="S26" s="9" t="n"/>
      <c r="T26" s="9" t="n"/>
      <c r="U26" s="9" t="n"/>
      <c r="V26" s="9" t="n"/>
      <c r="W26" s="9" t="n"/>
      <c r="X26" s="9" t="n"/>
    </row>
    <row r="27">
      <c r="A27" s="9" t="inlineStr">
        <is>
          <t>Fasteners</t>
        </is>
      </c>
      <c r="B27" s="9" t="inlineStr">
        <is>
          <t>M2x10 Self Tapping Screw for Plastics</t>
        </is>
      </c>
      <c r="C27" s="9" t="n"/>
      <c r="D27" s="9" t="inlineStr">
        <is>
          <t>17</t>
        </is>
      </c>
      <c r="E27" s="9" t="inlineStr">
        <is>
          <t>All</t>
        </is>
      </c>
      <c r="F27" s="10">
        <f>HYPERLINK("https://www.aliexpress.com/item/33043885403.html","Aliexpress")</f>
        <v/>
      </c>
      <c r="G27" s="9" t="n"/>
      <c r="H27" s="11">
        <f>HYPERLINK("https://www.mcmaster.com/99397A267/","McMaster-Carr (50 pack)")</f>
        <v/>
      </c>
      <c r="I27" s="9" t="n"/>
      <c r="J27" s="11">
        <f>HYPERLINK("https://amzn.to/2JFQPSK","Amazon - kit")</f>
        <v/>
      </c>
      <c r="K27" s="9" t="n"/>
      <c r="L27" s="11">
        <f>HYPERLINK("https://s.click.aliexpress.com/e/_d6tILYa","Aliexpress")</f>
        <v/>
      </c>
      <c r="M27" s="9" t="n"/>
      <c r="N27" s="11">
        <f>HYPERLINK("https://www.amazon.com/dp/B012THLK1E","Amazon")</f>
        <v/>
      </c>
      <c r="O27" s="9" t="n"/>
      <c r="P27" s="9" t="n"/>
      <c r="Q27" s="9" t="n"/>
      <c r="R27" s="9" t="n"/>
      <c r="S27" s="9" t="n"/>
      <c r="T27" s="9" t="n"/>
      <c r="U27" s="9" t="n"/>
      <c r="V27" s="9" t="n"/>
      <c r="W27" s="9" t="n"/>
      <c r="X27" s="12" t="inlineStr">
        <is>
          <t>some links were dead</t>
        </is>
      </c>
    </row>
    <row r="28">
      <c r="A28" s="14" t="inlineStr">
        <is>
          <t>Motion</t>
        </is>
      </c>
      <c r="B28" s="14" t="inlineStr">
        <is>
          <t>GT2 Open Belt LL-2GT-6 (6mm wide)</t>
        </is>
      </c>
      <c r="C28" s="14" t="n"/>
      <c r="D28" s="14" t="inlineStr">
        <is>
          <t>6 meters</t>
        </is>
      </c>
      <c r="E28" s="14" t="inlineStr">
        <is>
          <t>All</t>
        </is>
      </c>
      <c r="F28" s="15">
        <f>HYPERLINK("https://www.aliexpress.com/item/32853559638.html","Trianglelab")</f>
        <v/>
      </c>
      <c r="G28" s="16">
        <f>HYPERLINK("https://s.click.aliexpress.com/e/_AXkck4","[Affiliate Link]")</f>
        <v/>
      </c>
      <c r="H28" s="14" t="n"/>
      <c r="I28" s="14" t="n"/>
      <c r="J28" s="14" t="n"/>
      <c r="K28" s="14" t="n"/>
      <c r="L28" s="14" t="n"/>
      <c r="M28" s="14" t="n"/>
      <c r="N28" s="14" t="n"/>
      <c r="O28" s="14" t="n"/>
      <c r="P28" s="14" t="n"/>
      <c r="Q28" s="14" t="n"/>
      <c r="R28" s="14" t="n"/>
      <c r="S28" s="14" t="n"/>
      <c r="T28" s="14" t="n"/>
      <c r="U28" s="14" t="n"/>
      <c r="V28" s="14" t="n"/>
      <c r="W28" s="17" t="inlineStr">
        <is>
          <t>GATES belts are required for every open loop belt on the machine. SDP-SI is a US gates reseller (and tested)</t>
        </is>
      </c>
      <c r="X28" s="18" t="inlineStr">
        <is>
          <t>some links were dead</t>
        </is>
      </c>
    </row>
    <row r="29">
      <c r="A29" s="14" t="inlineStr">
        <is>
          <t>Motion</t>
        </is>
      </c>
      <c r="B29" s="14" t="inlineStr">
        <is>
          <t>GT2 20T (6mm wide) Pulley (5mm bore)</t>
        </is>
      </c>
      <c r="C29" s="14" t="n"/>
      <c r="D29" s="14" t="inlineStr">
        <is>
          <t>3</t>
        </is>
      </c>
      <c r="E29" s="14" t="inlineStr">
        <is>
          <t>All</t>
        </is>
      </c>
      <c r="F29" s="15">
        <f>HYPERLINK("https://www.aliexpress.com/item/32226562320.html","POWGE")</f>
        <v/>
      </c>
      <c r="G29" s="16">
        <f>HYPERLINK("https://s.click.aliexpress.com/e/E1Y0mkUu","[Affiliate Link]")</f>
        <v/>
      </c>
      <c r="H29" s="16">
        <f>HYPERLINK("https://s.click.aliexpress.com/e/_AqN4lx","Aliexpress")</f>
        <v/>
      </c>
      <c r="I29" s="14" t="n"/>
      <c r="J29" s="16">
        <f>HYPERLINK("https://s.click.aliexpress.com/e/E1Y0mkUu","AliExpress")</f>
        <v/>
      </c>
      <c r="K29" s="14" t="n"/>
      <c r="L29" s="16">
        <f>HYPERLINK("https://s.click.aliexpress.com/e/_dYtoM9A","Aliexpress")</f>
        <v/>
      </c>
      <c r="M29" s="14" t="n"/>
      <c r="N29" s="14" t="n"/>
      <c r="O29" s="14" t="n"/>
      <c r="P29" s="14" t="n"/>
      <c r="Q29" s="14" t="n"/>
      <c r="R29" s="14" t="n"/>
      <c r="S29" s="14" t="n"/>
      <c r="T29" s="14" t="n"/>
      <c r="U29" s="14" t="n"/>
      <c r="V29" s="14" t="n"/>
      <c r="W29" s="14" t="n"/>
      <c r="X29" s="18" t="inlineStr">
        <is>
          <t>all links were dead</t>
        </is>
      </c>
    </row>
    <row r="30">
      <c r="A30" s="14" t="inlineStr">
        <is>
          <t>Motion</t>
        </is>
      </c>
      <c r="B30" s="14" t="inlineStr">
        <is>
          <t>GT2 20T (6mm wide) Toothed Idler (5mm bore)</t>
        </is>
      </c>
      <c r="C30" s="14" t="n"/>
      <c r="D30" s="14" t="inlineStr">
        <is>
          <t>2</t>
        </is>
      </c>
      <c r="E30" s="14" t="inlineStr">
        <is>
          <t>All</t>
        </is>
      </c>
      <c r="F30" s="15">
        <f>HYPERLINK("https://www.aliexpress.com/item/32726309946.html","POWGE")</f>
        <v/>
      </c>
      <c r="G30" s="16">
        <f>HYPERLINK("https://s.click.aliexpress.com/e/_dVn7qSa","[Affiliate Link]")</f>
        <v/>
      </c>
      <c r="H30" s="16">
        <f>HYPERLINK("https://www.filastruder.com/products/gates-2gt-idler","Filastruder (US) [Gates]")</f>
        <v/>
      </c>
      <c r="I30" s="14" t="n"/>
      <c r="J30" s="14" t="n"/>
      <c r="K30" s="14" t="n"/>
      <c r="L30" s="14" t="n"/>
      <c r="M30" s="14" t="n"/>
      <c r="N30" s="14" t="n"/>
      <c r="O30" s="14" t="n"/>
      <c r="P30" s="14" t="n"/>
      <c r="Q30" s="14" t="n"/>
      <c r="R30" s="14" t="n"/>
      <c r="S30" s="14" t="n"/>
      <c r="T30" s="14" t="n"/>
      <c r="U30" s="14" t="n"/>
      <c r="V30" s="14" t="n"/>
      <c r="W30" s="17" t="inlineStr">
        <is>
          <t>RD pulleys are incorrect size and are inconsistent in profile, use POWGE</t>
        </is>
      </c>
      <c r="X30" s="14" t="n"/>
    </row>
    <row r="31">
      <c r="A31" s="14" t="inlineStr">
        <is>
          <t>Motion</t>
        </is>
      </c>
      <c r="B31" s="14" t="inlineStr">
        <is>
          <t>F695 2RS Bearing</t>
        </is>
      </c>
      <c r="C31" s="14" t="n"/>
      <c r="D31" s="14" t="inlineStr">
        <is>
          <t>24</t>
        </is>
      </c>
      <c r="E31" s="14" t="inlineStr">
        <is>
          <t>All</t>
        </is>
      </c>
      <c r="F31" s="15">
        <f>HYPERLINK("https://www.aliexpress.com/item/33001186278.html","RainDew")</f>
        <v/>
      </c>
      <c r="G31" s="16">
        <f>HYPERLINK("https://s.click.aliexpress.com/e/FhQBXGmc","[Affiliate Link]")</f>
        <v/>
      </c>
      <c r="H31" s="16">
        <f>HYPERLINK("https://www.aliexpress.com/item/32850989216.html","Fushi")</f>
        <v/>
      </c>
      <c r="I31" s="16">
        <f>HYPERLINK("https://s.click.aliexpress.com/e/Mv4uHJoM","[Affiliate Link]")</f>
        <v/>
      </c>
      <c r="J31" s="16">
        <f>HYPERLINK("https://s.click.aliexpress.com/e/FhQBXGmc","AliExpress")</f>
        <v/>
      </c>
      <c r="K31" s="14" t="n"/>
      <c r="L31" s="14" t="n"/>
      <c r="M31" s="14" t="n"/>
      <c r="N31" s="14" t="n"/>
      <c r="O31" s="14" t="n"/>
      <c r="P31" s="14" t="n"/>
      <c r="Q31" s="14" t="n"/>
      <c r="R31" s="14" t="n"/>
      <c r="S31" s="14" t="n"/>
      <c r="T31" s="14" t="n"/>
      <c r="U31" s="14" t="n"/>
      <c r="V31" s="14" t="n"/>
      <c r="W31" s="14" t="n"/>
      <c r="X31" s="14" t="n"/>
    </row>
    <row r="32">
      <c r="A32" s="14" t="inlineStr">
        <is>
          <t>Motion</t>
        </is>
      </c>
      <c r="B32" s="14" t="inlineStr">
        <is>
          <t>5x30mm Shaft</t>
        </is>
      </c>
      <c r="C32" s="14" t="n"/>
      <c r="D32" s="14" t="inlineStr">
        <is>
          <t>1</t>
        </is>
      </c>
      <c r="E32" s="14" t="inlineStr">
        <is>
          <t>All</t>
        </is>
      </c>
      <c r="F32" s="15">
        <f>HYPERLINK("https://www.aliexpress.com/item/1739093502.html","linkcnc")</f>
        <v/>
      </c>
      <c r="G32" s="16">
        <f>HYPERLINK("https://s.click.aliexpress.com/e/EKBTkxNm","[Affiliate Link]")</f>
        <v/>
      </c>
      <c r="H32" s="16">
        <f>HYPERLINK("https://www.aliexpress.com/item/32769265211.html","linkcnc")</f>
        <v/>
      </c>
      <c r="I32" s="16">
        <f>HYPERLINK("https://s.click.aliexpress.com/e/_A3ZXre","[Affiliate Link]")</f>
        <v/>
      </c>
      <c r="J32" s="14" t="n"/>
      <c r="K32" s="14" t="n"/>
      <c r="L32" s="14" t="n"/>
      <c r="M32" s="14" t="n"/>
      <c r="N32" s="14" t="n"/>
      <c r="O32" s="14" t="n"/>
      <c r="P32" s="14" t="n"/>
      <c r="Q32" s="14" t="n"/>
      <c r="R32" s="14" t="n"/>
      <c r="S32" s="14" t="n"/>
      <c r="T32" s="14" t="n"/>
      <c r="U32" s="14" t="n"/>
      <c r="V32" s="14" t="n"/>
      <c r="W32" s="14" t="n"/>
      <c r="X32" s="14" t="n"/>
    </row>
    <row r="33">
      <c r="A33" s="14" t="inlineStr">
        <is>
          <t>Motion</t>
        </is>
      </c>
      <c r="B33" s="14" t="inlineStr">
        <is>
          <t>GE5C Spherical Bearing</t>
        </is>
      </c>
      <c r="C33" s="14" t="n"/>
      <c r="D33" s="14" t="inlineStr">
        <is>
          <t>3</t>
        </is>
      </c>
      <c r="E33" s="14" t="inlineStr">
        <is>
          <t>All</t>
        </is>
      </c>
      <c r="F33" s="15">
        <f>HYPERLINK("https://www.aliexpress.com/item/4000335932856.html","Aliexpress")</f>
        <v/>
      </c>
      <c r="G33" s="16">
        <f>HYPERLINK("https://s.click.aliexpress.com/e/_ANOfRq","[Affiliate Link]")</f>
        <v/>
      </c>
      <c r="H33" s="16">
        <f>HYPERLINK("https://www.igus.com/search?q=EGLM-05","Igus")</f>
        <v/>
      </c>
      <c r="I33" s="14" t="n"/>
      <c r="J33" s="14" t="n"/>
      <c r="K33" s="14" t="n"/>
      <c r="L33" s="14" t="n"/>
      <c r="M33" s="14" t="n"/>
      <c r="N33" s="14" t="n"/>
      <c r="O33" s="14" t="n"/>
      <c r="P33" s="14" t="n"/>
      <c r="Q33" s="14" t="n"/>
      <c r="R33" s="14" t="n"/>
      <c r="S33" s="14" t="n"/>
      <c r="T33" s="14" t="n"/>
      <c r="U33" s="14" t="n"/>
      <c r="V33" s="14" t="n"/>
      <c r="W33" s="14" t="n"/>
      <c r="X33" s="14" t="n"/>
    </row>
    <row r="34">
      <c r="A34" s="14" t="inlineStr">
        <is>
          <t>Motion</t>
        </is>
      </c>
      <c r="B34" s="14" t="inlineStr">
        <is>
          <t>Linear Rail MGN12H ** See Configurator for length **</t>
        </is>
      </c>
      <c r="C34" s="14" t="n"/>
      <c r="D34" s="14" t="inlineStr">
        <is>
          <t>1</t>
        </is>
      </c>
      <c r="E34" s="14" t="inlineStr">
        <is>
          <t>250x250 -&gt; 300mm rails</t>
        </is>
      </c>
      <c r="F34" s="15">
        <f>HYPERLINK("https://www.aliexpress.com/item/32829826159.html","CNA")</f>
        <v/>
      </c>
      <c r="G34" s="14" t="n"/>
      <c r="H34" s="16">
        <f>HYPERLINK("https://www.robotdigg.com/product/1314/Black-anodized-linear-rail-7,-9,-12-and-15","RobotDigg (Black Stainless Rails)")</f>
        <v/>
      </c>
      <c r="I34" s="14" t="n"/>
      <c r="J34" s="16">
        <f>HYPERLINK("https://www.zyltech.com/zyltech-mgn12-h-type-linear-rail-with-single-or-double-carriage-block","Zyltech")</f>
        <v/>
      </c>
      <c r="K34" s="14" t="n"/>
      <c r="L34" s="16">
        <f>HYPERLINK("https://www.aliexpress.com/item/2251832643511407.html","CNA")</f>
        <v/>
      </c>
      <c r="M34" s="14" t="n"/>
      <c r="N34" s="16">
        <f>HYPERLINK("https://docs.ldomotors.com/en/voron/LDO_Voron_Distributors","LDO")</f>
        <v/>
      </c>
      <c r="O34" s="14" t="n"/>
      <c r="P34" s="14" t="n"/>
      <c r="Q34" s="14" t="n"/>
      <c r="R34" s="14" t="n"/>
      <c r="S34" s="14" t="n"/>
      <c r="T34" s="14" t="n"/>
      <c r="U34" s="14" t="n"/>
      <c r="V34" s="14" t="n"/>
      <c r="W34" s="17" t="inlineStr">
        <is>
          <t>If ordering CNA, specify "medium preload" in order notes. RobotDigg PN: GS_MGN9-1H-B300</t>
        </is>
      </c>
      <c r="X34" s="14" t="n"/>
    </row>
    <row r="35">
      <c r="A35" s="14" t="inlineStr">
        <is>
          <t>Motion</t>
        </is>
      </c>
      <c r="B35" s="14" t="inlineStr">
        <is>
          <t>Linear Rail MGN12H ** See Configurator for length **</t>
        </is>
      </c>
      <c r="C35" s="14" t="n"/>
      <c r="D35" s="14" t="inlineStr">
        <is>
          <t>1</t>
        </is>
      </c>
      <c r="E35" s="14" t="inlineStr">
        <is>
          <t>300x300 -&gt; 350mm rails</t>
        </is>
      </c>
      <c r="F35" s="15">
        <f>HYPERLINK("https://www.aliexpress.com/item/32829826159.html","CNA")</f>
        <v/>
      </c>
      <c r="G35" s="14" t="n"/>
      <c r="H35" s="16">
        <f>HYPERLINK("https://www.robotdigg.com/product/1314/Black-anodized-linear-rail-7,-9,-12-and-15","RobotDigg (Black Stainless Rails)")</f>
        <v/>
      </c>
      <c r="I35" s="14" t="n"/>
      <c r="J35" s="16">
        <f>HYPERLINK("https://www.zyltech.com/zyltech-mgn12-h-type-linear-rail-with-single-or-double-carriage-block","Zyltech")</f>
        <v/>
      </c>
      <c r="K35" s="14" t="n"/>
      <c r="L35" s="16">
        <f>HYPERLINK("https://www.aliexpress.com/item/2251832643511407.html","CNA")</f>
        <v/>
      </c>
      <c r="M35" s="14" t="n"/>
      <c r="N35" s="16">
        <f>HYPERLINK("https://docs.ldomotors.com/en/voron/LDO_Voron_Distributors","LDO")</f>
        <v/>
      </c>
      <c r="O35" s="14" t="n"/>
      <c r="P35" s="14" t="n"/>
      <c r="Q35" s="14" t="n"/>
      <c r="R35" s="14" t="n"/>
      <c r="S35" s="14" t="n"/>
      <c r="T35" s="14" t="n"/>
      <c r="U35" s="14" t="n"/>
      <c r="V35" s="14" t="n"/>
      <c r="W35" s="17" t="inlineStr">
        <is>
          <t>If ordering CNA, specify "medium preload" in order notes. RobotDigg PN: GS_MGN9-1H-B300</t>
        </is>
      </c>
      <c r="X35" s="14" t="n"/>
    </row>
    <row r="36">
      <c r="A36" s="14" t="inlineStr">
        <is>
          <t>Motion</t>
        </is>
      </c>
      <c r="B36" s="14" t="inlineStr">
        <is>
          <t>Linear Rail MGN12H ** See Configurator for length **</t>
        </is>
      </c>
      <c r="C36" s="14" t="n"/>
      <c r="D36" s="14" t="inlineStr">
        <is>
          <t>1</t>
        </is>
      </c>
      <c r="E36" s="14" t="inlineStr">
        <is>
          <t>350x350 -&gt; 400mm rails</t>
        </is>
      </c>
      <c r="F36" s="15">
        <f>HYPERLINK("https://www.aliexpress.com/item/32829826159.html","CNA")</f>
        <v/>
      </c>
      <c r="G36" s="14" t="n"/>
      <c r="H36" s="16">
        <f>HYPERLINK("https://www.robotdigg.com/product/1314/Black-anodized-linear-rail-7,-9,-12-and-15","RobotDigg (Black Stainless Rails)")</f>
        <v/>
      </c>
      <c r="I36" s="14" t="n"/>
      <c r="J36" s="16">
        <f>HYPERLINK("https://www.zyltech.com/zyltech-mgn12-h-type-linear-rail-with-single-or-double-carriage-block","Zyltech")</f>
        <v/>
      </c>
      <c r="K36" s="14" t="n"/>
      <c r="L36" s="16">
        <f>HYPERLINK("https://www.aliexpress.com/item/2251832643511407.html","CNA")</f>
        <v/>
      </c>
      <c r="M36" s="14" t="n"/>
      <c r="N36" s="16">
        <f>HYPERLINK("https://docs.ldomotors.com/en/voron/LDO_Voron_Distributors","LDO")</f>
        <v/>
      </c>
      <c r="O36" s="14" t="n"/>
      <c r="P36" s="14" t="n"/>
      <c r="Q36" s="14" t="n"/>
      <c r="R36" s="14" t="n"/>
      <c r="S36" s="14" t="n"/>
      <c r="T36" s="14" t="n"/>
      <c r="U36" s="14" t="n"/>
      <c r="V36" s="14" t="n"/>
      <c r="W36" s="17" t="inlineStr">
        <is>
          <t>If ordering CNA, specify "medium preload" in order notes. RobotDigg PN: GS_MGN9-1H-B300</t>
        </is>
      </c>
      <c r="X36" s="14" t="n"/>
    </row>
    <row r="37">
      <c r="A37" s="14" t="inlineStr">
        <is>
          <t>Motion</t>
        </is>
      </c>
      <c r="B37" s="14" t="inlineStr">
        <is>
          <t>Linear Rail MGN9H ** See Configurator for length **</t>
        </is>
      </c>
      <c r="C37" s="14" t="n"/>
      <c r="D37" s="14" t="inlineStr">
        <is>
          <t>2</t>
        </is>
      </c>
      <c r="E37" s="14" t="inlineStr">
        <is>
          <t>250x250 -&gt; 300mm rails</t>
        </is>
      </c>
      <c r="F37" s="15">
        <f>HYPERLINK("https://www.aliexpress.com/item/32773296501.html","CNA")</f>
        <v/>
      </c>
      <c r="G37" s="14" t="n"/>
      <c r="H37" s="16">
        <f>HYPERLINK("https://www.robotdigg.com/product/1314/Black-anodized-linear-rail-7,-9,-12-and-15","RobotDigg (Black Stainless Rails)")</f>
        <v/>
      </c>
      <c r="I37" s="14" t="n"/>
      <c r="J37" s="16">
        <f>HYPERLINK("https://www.zyltech.com/zyltech-mgn9-linear-rail-with-single-or-double-carriage-block","Zyltech")</f>
        <v/>
      </c>
      <c r="K37" s="14" t="n"/>
      <c r="L37" s="14" t="n"/>
      <c r="M37" s="14" t="n"/>
      <c r="N37" s="14" t="n"/>
      <c r="O37" s="14" t="n"/>
      <c r="P37" s="14" t="n"/>
      <c r="Q37" s="14" t="n"/>
      <c r="R37" s="14" t="n"/>
      <c r="S37" s="14" t="n"/>
      <c r="T37" s="14" t="n"/>
      <c r="U37" s="14" t="n"/>
      <c r="V37" s="14" t="n"/>
      <c r="W37" s="14" t="n"/>
      <c r="X37" s="14" t="n"/>
    </row>
    <row r="38">
      <c r="A38" s="14" t="inlineStr">
        <is>
          <t>Motion</t>
        </is>
      </c>
      <c r="B38" s="14" t="inlineStr">
        <is>
          <t>Linear Rail MGN9H ** See Configurator for length **</t>
        </is>
      </c>
      <c r="C38" s="14" t="n"/>
      <c r="D38" s="14" t="inlineStr">
        <is>
          <t>2</t>
        </is>
      </c>
      <c r="E38" s="14" t="inlineStr">
        <is>
          <t>300x300 -&gt; 350mm rails</t>
        </is>
      </c>
      <c r="F38" s="15">
        <f>HYPERLINK("https://www.aliexpress.com/item/32773296501.html","CNA")</f>
        <v/>
      </c>
      <c r="G38" s="14" t="n"/>
      <c r="H38" s="16">
        <f>HYPERLINK("https://www.robotdigg.com/product/1314/Black-anodized-linear-rail-7,-9,-12-and-15","RobotDigg (Black Stainless Rails)")</f>
        <v/>
      </c>
      <c r="I38" s="14" t="n"/>
      <c r="J38" s="16">
        <f>HYPERLINK("https://www.zyltech.com/zyltech-mgn9-linear-rail-with-single-or-double-carriage-block","Zyltech")</f>
        <v/>
      </c>
      <c r="K38" s="14" t="n"/>
      <c r="L38" s="14" t="n"/>
      <c r="M38" s="14" t="n"/>
      <c r="N38" s="14" t="n"/>
      <c r="O38" s="14" t="n"/>
      <c r="P38" s="14" t="n"/>
      <c r="Q38" s="14" t="n"/>
      <c r="R38" s="14" t="n"/>
      <c r="S38" s="14" t="n"/>
      <c r="T38" s="14" t="n"/>
      <c r="U38" s="14" t="n"/>
      <c r="V38" s="14" t="n"/>
      <c r="W38" s="14" t="n"/>
      <c r="X38" s="14" t="n"/>
    </row>
    <row r="39">
      <c r="A39" s="14" t="inlineStr">
        <is>
          <t>Motion</t>
        </is>
      </c>
      <c r="B39" s="14" t="inlineStr">
        <is>
          <t>Linear Rail MGN9H ** See Configurator for length **</t>
        </is>
      </c>
      <c r="C39" s="14" t="n"/>
      <c r="D39" s="14" t="inlineStr">
        <is>
          <t>2</t>
        </is>
      </c>
      <c r="E39" s="14" t="inlineStr">
        <is>
          <t>350x350 -&gt; 400mm rails</t>
        </is>
      </c>
      <c r="F39" s="15">
        <f>HYPERLINK("https://www.aliexpress.com/item/32773296501.html","CNA")</f>
        <v/>
      </c>
      <c r="G39" s="14" t="n"/>
      <c r="H39" s="16">
        <f>HYPERLINK("https://www.robotdigg.com/product/1314/Black-anodized-linear-rail-7,-9,-12-and-15","RobotDigg (Black Stainless Rails)")</f>
        <v/>
      </c>
      <c r="I39" s="14" t="n"/>
      <c r="J39" s="16">
        <f>HYPERLINK("https://www.zyltech.com/zyltech-mgn9-linear-rail-with-single-or-double-carriage-block","Zyltech")</f>
        <v/>
      </c>
      <c r="K39" s="14" t="n"/>
      <c r="L39" s="14" t="n"/>
      <c r="M39" s="14" t="n"/>
      <c r="N39" s="14" t="n"/>
      <c r="O39" s="14" t="n"/>
      <c r="P39" s="14" t="n"/>
      <c r="Q39" s="14" t="n"/>
      <c r="R39" s="14" t="n"/>
      <c r="S39" s="14" t="n"/>
      <c r="T39" s="14" t="n"/>
      <c r="U39" s="14" t="n"/>
      <c r="V39" s="14" t="n"/>
      <c r="W39" s="14" t="n"/>
      <c r="X39" s="14" t="n"/>
    </row>
    <row r="40">
      <c r="A40" s="14" t="inlineStr">
        <is>
          <t>Motion</t>
        </is>
      </c>
      <c r="B40" s="14" t="inlineStr">
        <is>
          <t>Linear Rail MGN9H ** See Configurator for length **</t>
        </is>
      </c>
      <c r="C40" s="14" t="n"/>
      <c r="D40" s="14" t="inlineStr">
        <is>
          <t>3</t>
        </is>
      </c>
      <c r="E40" s="14" t="inlineStr">
        <is>
          <t>All builds -&gt; 300mm rails</t>
        </is>
      </c>
      <c r="F40" s="15">
        <f>HYPERLINK("https://www.aliexpress.com/item/32773296501.html","CNA")</f>
        <v/>
      </c>
      <c r="G40" s="14" t="n"/>
      <c r="H40" s="16">
        <f>HYPERLINK("https://www.robotdigg.com/product/1314/Black-anodized-linear-rail-7,-9,-12-and-15","RobotDigg (Black Stainless Rails)")</f>
        <v/>
      </c>
      <c r="I40" s="14" t="n"/>
      <c r="J40" s="16">
        <f>HYPERLINK("https://www.zyltech.com/zyltech-mgn9-linear-rail-with-single-or-double-carriage-block","Zyltech")</f>
        <v/>
      </c>
      <c r="K40" s="14" t="n"/>
      <c r="L40" s="14" t="n"/>
      <c r="M40" s="14" t="n"/>
      <c r="N40" s="14" t="n"/>
      <c r="O40" s="14" t="n"/>
      <c r="P40" s="14" t="n"/>
      <c r="Q40" s="14" t="n"/>
      <c r="R40" s="14" t="n"/>
      <c r="S40" s="14" t="n"/>
      <c r="T40" s="14" t="n"/>
      <c r="U40" s="14" t="n"/>
      <c r="V40" s="14" t="n"/>
      <c r="W40" s="14" t="n"/>
      <c r="X40" s="14" t="n"/>
    </row>
    <row r="41">
      <c r="A41" s="14" t="inlineStr">
        <is>
          <t>Motion</t>
        </is>
      </c>
      <c r="B41" s="14" t="inlineStr">
        <is>
          <t>Integrated Lead Screw/Stepper Motors - 300mm, 2/4/8mm pitch</t>
        </is>
      </c>
      <c r="C41" s="14" t="n"/>
      <c r="D41" s="14" t="inlineStr">
        <is>
          <t>3</t>
        </is>
      </c>
      <c r="E41" s="14" t="inlineStr">
        <is>
          <t>All</t>
        </is>
      </c>
      <c r="F41" s="14" t="n"/>
      <c r="G41" s="14" t="n"/>
      <c r="H41" s="14" t="n"/>
      <c r="I41" s="14" t="n"/>
      <c r="J41" s="14" t="n"/>
      <c r="K41" s="14" t="n"/>
      <c r="L41" s="14" t="n"/>
      <c r="M41" s="14" t="n"/>
      <c r="N41" s="14" t="n"/>
      <c r="O41" s="14" t="n"/>
      <c r="P41" s="14" t="n"/>
      <c r="Q41" s="14" t="n"/>
      <c r="R41" s="14" t="n"/>
      <c r="S41" s="14" t="n"/>
      <c r="T41" s="14" t="n"/>
      <c r="U41" s="14" t="n"/>
      <c r="V41" s="14" t="n"/>
      <c r="W41" s="17" t="inlineStr">
        <is>
          <t>4mm pitch recommended for most applications</t>
        </is>
      </c>
      <c r="X41" s="18" t="inlineStr">
        <is>
          <t>all links were dead</t>
        </is>
      </c>
    </row>
    <row r="42">
      <c r="A42" s="19" t="inlineStr">
        <is>
          <t>Extruder</t>
        </is>
      </c>
      <c r="B42" s="19" t="inlineStr">
        <is>
          <t>Complete BMG Extruder Clone</t>
        </is>
      </c>
      <c r="C42" s="19" t="n"/>
      <c r="D42" s="19" t="inlineStr">
        <is>
          <t>1</t>
        </is>
      </c>
      <c r="E42" s="19" t="inlineStr">
        <is>
          <t>All</t>
        </is>
      </c>
      <c r="F42" s="20">
        <f>HYPERLINK("https://www.bondtech.se/en/product/drivegear-kits","Bondtech")</f>
        <v/>
      </c>
      <c r="G42" s="19" t="n"/>
      <c r="H42" s="21">
        <f>HYPERLINK("https://www.filastruder.com/collections/bondtech/products/drivegear-kit","Filastruder")</f>
        <v/>
      </c>
      <c r="I42" s="19" t="n"/>
      <c r="J42" s="21">
        <f>HYPERLINK("https://s.click.aliexpress.com/e/_dY14nbA","Aliexpress (TL)")</f>
        <v/>
      </c>
      <c r="K42" s="19" t="n"/>
      <c r="L42" s="21">
        <f>HYPERLINK("https://www.aliexpress.com/item/32907327548.html","TriangleLab")</f>
        <v/>
      </c>
      <c r="M42" s="21">
        <f>HYPERLINK("https://s.click.aliexpress.com/e/5dL9AJgU","[Affiliate Link]")</f>
        <v/>
      </c>
      <c r="N42" s="21">
        <f>HYPERLINK("https://s.click.aliexpress.com/e/_AU7ik2","Aliexpress (TL)")</f>
        <v/>
      </c>
      <c r="O42" s="19" t="n"/>
      <c r="P42" s="21">
        <f>HYPERLINK("https://www.aliexpress.com/item/4000021186440.html","Aliexpress (TL)")</f>
        <v/>
      </c>
      <c r="Q42" s="21">
        <f>HYPERLINK("https://s.click.aliexpress.com/e/_Alji4k","[Affiliate Link]")</f>
        <v/>
      </c>
      <c r="R42" s="21">
        <f>HYPERLINK("https://www.aliexpress.com/item/2255799834871688.html","Aliexpress (TriangleLabs)")</f>
        <v/>
      </c>
      <c r="S42" s="21">
        <f>HYPERLINK("https://s.click.aliexpress.com/e/_dS7fWDW","TriangleLabs")</f>
        <v/>
      </c>
      <c r="T42" s="21">
        <f>HYPERLINK("https://www.aliexpress.com/item/32947193804.html","TriangleLabs")</f>
        <v/>
      </c>
      <c r="U42" s="21">
        <f>HYPERLINK("https://www.filastruder.com/products/bondtech-bmg-internals-set?_pos=1&amp;_sid=8f05bd81a&amp;_ss=r","Filastruder")</f>
        <v/>
      </c>
      <c r="V42" s="21">
        <f>HYPERLINK("https://www.printedsolid.com/products/bondtech-bmg-extruder","Printed Solid")</f>
        <v/>
      </c>
      <c r="W42" s="22" t="inlineStr">
        <is>
          <t>if you buy the entire extruder you will have to disassemble it for the parts as the housing is not needed</t>
        </is>
      </c>
      <c r="X42" s="23" t="inlineStr">
        <is>
          <t>some links were dead</t>
        </is>
      </c>
    </row>
    <row r="43">
      <c r="A43" s="19" t="inlineStr">
        <is>
          <t>Vibration Management</t>
        </is>
      </c>
      <c r="B43" s="19" t="inlineStr">
        <is>
          <t>Rubber Foot</t>
        </is>
      </c>
      <c r="C43" s="19" t="n"/>
      <c r="D43" s="19" t="inlineStr">
        <is>
          <t>4</t>
        </is>
      </c>
      <c r="E43" s="19" t="inlineStr">
        <is>
          <t>All</t>
        </is>
      </c>
      <c r="F43" s="20">
        <f>HYPERLINK("https://www.amazon.com/dp/B00JJ191Z6","Amazon")</f>
        <v/>
      </c>
      <c r="G43" s="19" t="n"/>
      <c r="H43" s="21">
        <f>HYPERLINK("https://a.aliexpress.com/_mseXbAP","AliExpress")</f>
        <v/>
      </c>
      <c r="I43" s="19" t="n"/>
      <c r="J43" s="19" t="n"/>
      <c r="K43" s="19" t="n"/>
      <c r="L43" s="19" t="n"/>
      <c r="M43" s="19" t="n"/>
      <c r="N43" s="19" t="n"/>
      <c r="O43" s="19" t="n"/>
      <c r="P43" s="19" t="n"/>
      <c r="Q43" s="19" t="n"/>
      <c r="R43" s="19" t="n"/>
      <c r="S43" s="19" t="n"/>
      <c r="T43" s="19" t="n"/>
      <c r="U43" s="19" t="n"/>
      <c r="V43" s="19" t="n"/>
      <c r="W43" s="22" t="inlineStr">
        <is>
          <t>Commonly referred to as Amplifier Cabinet Feet. Any rubber foot with a maximum diameter of 1.5" (38mm) and around .75" (19mm) height will work. The original spec compressor feet will work as well.</t>
        </is>
      </c>
      <c r="X43" s="23" t="inlineStr">
        <is>
          <t>some links were dead</t>
        </is>
      </c>
    </row>
    <row r="44">
      <c r="A44" s="24" t="inlineStr">
        <is>
          <t>Electronics</t>
        </is>
      </c>
      <c r="B44" s="24" t="inlineStr">
        <is>
          <t>Omron Mouse Button - Micro Switch</t>
        </is>
      </c>
      <c r="C44" s="24" t="n"/>
      <c r="D44" s="24" t="inlineStr">
        <is>
          <t>3</t>
        </is>
      </c>
      <c r="E44" s="24" t="inlineStr">
        <is>
          <t>All</t>
        </is>
      </c>
      <c r="F44" s="25">
        <f>HYPERLINK("https://www.digikey.com/product-detail/en/omron-electronics-inc-emc-div/D2F-5L/Z8846-ND/8593137","Digikey")</f>
        <v/>
      </c>
      <c r="G44" s="24" t="n"/>
      <c r="H44" s="26">
        <f>HYPERLINK("https://www.digikey.com/en/products/detail/omron-electronics-inc-emc-div/D2F-01L/83264","Digikey")</f>
        <v/>
      </c>
      <c r="I44" s="24" t="n"/>
      <c r="J44" s="26">
        <f>HYPERLINK("https://www.digikey.com/product-detail/en/omron-electronics-inc-emc-div/D2F-5/Z8845-ND/8593136","Digikey")</f>
        <v/>
      </c>
      <c r="K44" s="24" t="n"/>
      <c r="L44" s="24" t="n"/>
      <c r="M44" s="24" t="n"/>
      <c r="N44" s="24" t="n"/>
      <c r="O44" s="24" t="n"/>
      <c r="P44" s="24" t="n"/>
      <c r="Q44" s="24" t="n"/>
      <c r="R44" s="24" t="n"/>
      <c r="S44" s="24" t="n"/>
      <c r="T44" s="24" t="n"/>
      <c r="U44" s="24" t="n"/>
      <c r="V44" s="24" t="n"/>
      <c r="W44" s="24" t="n"/>
      <c r="X44" s="24" t="n"/>
    </row>
    <row r="45">
      <c r="A45" s="24" t="inlineStr">
        <is>
          <t>Electronics</t>
        </is>
      </c>
      <c r="B45" s="24" t="inlineStr">
        <is>
          <t>Omron TL-Q5MC2 - NPN, NC, 5mm Sense</t>
        </is>
      </c>
      <c r="C45" s="24" t="n"/>
      <c r="D45" s="24" t="inlineStr">
        <is>
          <t>1</t>
        </is>
      </c>
      <c r="E45" s="24" t="inlineStr">
        <is>
          <t>All</t>
        </is>
      </c>
      <c r="F45" s="25">
        <f>HYPERLINK("https://www.aliexpress.com/item/2251832663198775.html","Aliexpress")</f>
        <v/>
      </c>
      <c r="G45" s="26">
        <f>HYPERLINK("https://s.click.aliexpress.com/e/_DEI50IF","[Affiliate Link]")</f>
        <v/>
      </c>
      <c r="H45" s="26">
        <f>HYPERLINK("https://www.mouser.com/ProductDetail/Omron-Automation-and-Safety/TL-Q5MC2?qs=%2Fha2pyFadujGSyouhW07bDypqQHk8q5KtPum7PUL424%3D","Mouser (OEM A-Stock)")</f>
        <v/>
      </c>
      <c r="I45" s="24" t="n"/>
      <c r="J45" s="26">
        <f>HYPERLINK("https://www.newark.com/omron-industrial-automation/tl-q5mc2/rect-prx-5mm-npn-nc-unsh/dp/38B1174","Newark (OEM A-Stock)")</f>
        <v/>
      </c>
      <c r="K45" s="24" t="n"/>
      <c r="L45" s="26">
        <f>HYPERLINK("https://s.click.aliexpress.com/e/_DlxY7KJ","AliExpress")</f>
        <v/>
      </c>
      <c r="M45" s="24" t="n"/>
      <c r="N45" s="24" t="n"/>
      <c r="O45" s="24" t="n"/>
      <c r="P45" s="24" t="n"/>
      <c r="Q45" s="24" t="n"/>
      <c r="R45" s="24" t="n"/>
      <c r="S45" s="24" t="n"/>
      <c r="T45" s="24" t="n"/>
      <c r="U45" s="24" t="n"/>
      <c r="V45" s="24" t="n"/>
      <c r="W45" s="27" t="inlineStr">
        <is>
          <t>The common PL08 probe may not fit with the MGN12 configuration due to space constraints. Omron or Panasonic probes are recommended.</t>
        </is>
      </c>
      <c r="X45" s="24" t="n"/>
    </row>
    <row r="46">
      <c r="A46" s="24" t="inlineStr">
        <is>
          <t>Electronics</t>
        </is>
      </c>
      <c r="B46" s="24" t="inlineStr">
        <is>
          <t>BAT85 Diode</t>
        </is>
      </c>
      <c r="C46" s="24" t="n"/>
      <c r="D46" s="24" t="inlineStr">
        <is>
          <t>1</t>
        </is>
      </c>
      <c r="E46" s="24" t="inlineStr">
        <is>
          <t>All</t>
        </is>
      </c>
      <c r="F46" s="25">
        <f>HYPERLINK("https://www.digikey.com/product-detail/en/BAT85S-TR/BAT85SCT-ND/3104371","DigiKey")</f>
        <v/>
      </c>
      <c r="G46" s="24" t="n"/>
      <c r="H46" s="24" t="n"/>
      <c r="I46" s="24" t="n"/>
      <c r="J46" s="24" t="n"/>
      <c r="K46" s="24" t="n"/>
      <c r="L46" s="24" t="n"/>
      <c r="M46" s="24" t="n"/>
      <c r="N46" s="24" t="n"/>
      <c r="O46" s="24" t="n"/>
      <c r="P46" s="24" t="n"/>
      <c r="Q46" s="24" t="n"/>
      <c r="R46" s="24" t="n"/>
      <c r="S46" s="24" t="n"/>
      <c r="T46" s="24" t="n"/>
      <c r="U46" s="24" t="n"/>
      <c r="V46" s="24" t="n"/>
      <c r="W46" s="27" t="inlineStr">
        <is>
          <t>You do not want to get this part from an Ali vendor as quality can be suspect. If these sources are not available in your area, please ask in a regional channel on Discord or search a local electronics store.</t>
        </is>
      </c>
      <c r="X46" s="24" t="n"/>
    </row>
    <row r="47">
      <c r="A47" s="24" t="inlineStr">
        <is>
          <t>Electronics</t>
        </is>
      </c>
      <c r="B47" s="24" t="inlineStr">
        <is>
          <t>Omron G3NA-210B-DC5 (10A) or Crydom D2425 (25A) or Crydom 84134000 (10A) SSR</t>
        </is>
      </c>
      <c r="C47" s="24" t="n"/>
      <c r="D47" s="24" t="inlineStr">
        <is>
          <t>1</t>
        </is>
      </c>
      <c r="E47" s="24" t="inlineStr">
        <is>
          <t>All</t>
        </is>
      </c>
      <c r="F47" s="25">
        <f>HYPERLINK("https://www.digikey.com/en/products/detail/omron-automation-and-safety/G3NA-210B-UTU-DC5-24/634443","Digikey (Omron)")</f>
        <v/>
      </c>
      <c r="G47" s="24" t="n"/>
      <c r="H47" s="26">
        <f>HYPERLINK("https://www.digikey.com/products/en","Digikey (Omron)")</f>
        <v/>
      </c>
      <c r="I47" s="24" t="n"/>
      <c r="J47" s="26">
        <f>HYPERLINK("https://www.digikey.com/en/products/detail/panasonic-electric-works/AQA211VL/2364682","Digikey (Panasonic)")</f>
        <v/>
      </c>
      <c r="K47" s="24" t="n"/>
      <c r="L47" s="26">
        <f>HYPERLINK("https://www.digikey.com/product-detail/en/sensata-crydom/D2425/CC1006-ND/139477","Digikey (Crydom 25A)")</f>
        <v/>
      </c>
      <c r="M47" s="24" t="n"/>
      <c r="N47" s="26">
        <f>HYPERLINK("https://www.digikey.com/product-detail/en/sensata-crydom/84134000/646-1227-ND/1816787","Digikey (Crydom 10A)")</f>
        <v/>
      </c>
      <c r="O47" s="24" t="n"/>
      <c r="P47" s="26">
        <f>HYPERLINK("https://www.filastruder.com/products/solid-state-relay?_pos=1&amp;_sid=f58b74679&amp;_ss=r","Filastruder (Panasonic)")</f>
        <v/>
      </c>
      <c r="Q47" s="24" t="n"/>
      <c r="R47" s="24" t="n"/>
      <c r="S47" s="24" t="n"/>
      <c r="T47" s="24" t="n"/>
      <c r="U47" s="24" t="n"/>
      <c r="V47" s="24" t="n"/>
      <c r="W47" s="27" t="inlineStr">
        <is>
          <t>Crydom (2nd Link, also valid alternative), UTU PN just adds TUV support as a certification to the relay (Omron Only)</t>
        </is>
      </c>
      <c r="X47" s="24" t="n"/>
    </row>
    <row r="48">
      <c r="A48" s="24" t="inlineStr">
        <is>
          <t>Electronics</t>
        </is>
      </c>
      <c r="B48" s="24" t="inlineStr">
        <is>
          <t>SSR DIN Mount</t>
        </is>
      </c>
      <c r="C48" s="24" t="n"/>
      <c r="D48" s="24" t="inlineStr">
        <is>
          <t>1</t>
        </is>
      </c>
      <c r="E48" s="24" t="inlineStr">
        <is>
          <t>All</t>
        </is>
      </c>
      <c r="F48" s="25">
        <f>HYPERLINK("https://www.aliexpress.com/item/32971006524.html","Aliexpress")</f>
        <v/>
      </c>
      <c r="G48" s="26">
        <f>HYPERLINK("https://s.click.aliexpress.com/e/_AOUGIu","[Affiliate Link]")</f>
        <v/>
      </c>
      <c r="H48" s="24" t="n"/>
      <c r="I48" s="24" t="n"/>
      <c r="J48" s="24" t="n"/>
      <c r="K48" s="24" t="n"/>
      <c r="L48" s="24" t="n"/>
      <c r="M48" s="24" t="n"/>
      <c r="N48" s="24" t="n"/>
      <c r="O48" s="24" t="n"/>
      <c r="P48" s="24" t="n"/>
      <c r="Q48" s="24" t="n"/>
      <c r="R48" s="24" t="n"/>
      <c r="S48" s="24" t="n"/>
      <c r="T48" s="24" t="n"/>
      <c r="U48" s="24" t="n"/>
      <c r="V48" s="24" t="n"/>
      <c r="W48" s="24" t="n"/>
      <c r="X48" s="24" t="n"/>
    </row>
    <row r="49">
      <c r="A49" s="24" t="inlineStr">
        <is>
          <t>Electronics</t>
        </is>
      </c>
      <c r="B49" s="24" t="inlineStr">
        <is>
          <t>NEMA17 Motor 17HS19-2004S</t>
        </is>
      </c>
      <c r="C49" s="24" t="n"/>
      <c r="D49" s="24" t="inlineStr">
        <is>
          <t>2</t>
        </is>
      </c>
      <c r="E49" s="24" t="inlineStr">
        <is>
          <t>All</t>
        </is>
      </c>
      <c r="F49" s="25">
        <f>HYPERLINK("https://www.omc-stepperonline.com/nema-17-bipolar-59ncm-84oz-in-2a-42x48mm-4-wires-w-1m-cable-and-connector.html","Stepper Online")</f>
        <v/>
      </c>
      <c r="G49" s="24" t="n"/>
      <c r="H49" s="26">
        <f>HYPERLINK("https://www.omc-stepperonline.com/nema-17-bipolare-59ncm-84oz-in-2a-42x48mm-4fili-w-1m-cable-and-connector.html","Stepper Online")</f>
        <v/>
      </c>
      <c r="I49" s="24" t="n"/>
      <c r="J49" s="26">
        <f>HYPERLINK("https://www.aliexpress.com/item/32589488227.html","Stepper Online")</f>
        <v/>
      </c>
      <c r="K49" s="26">
        <f>HYPERLINK("https://s.click.aliexpress.com/e/5E5huNIu","[Affiliate Link]")</f>
        <v/>
      </c>
      <c r="L49" s="26">
        <f>HYPERLINK("https://www.amazon.com/dp/B00PNEQKC0","Amazon")</f>
        <v/>
      </c>
      <c r="M49" s="26">
        <f>HYPERLINK("https://amzn.to/325amWA","[Affiliate Link]")</f>
        <v/>
      </c>
      <c r="N49" s="26">
        <f>HYPERLINK("https://www.aliexpress.com/item/32572890101.html","Stepper Online")</f>
        <v/>
      </c>
      <c r="O49" s="26">
        <f>HYPERLINK("https://s.click.aliexpress.com/e/_9J8aJa","[Affiliate Link]")</f>
        <v/>
      </c>
      <c r="P49" s="26">
        <f>HYPERLINK("https://docs.ldomotors.com/en/voron/LDO_Voron_Distributors","LDO")</f>
        <v/>
      </c>
      <c r="Q49" s="24" t="n"/>
      <c r="R49" s="24" t="n"/>
      <c r="S49" s="24" t="n"/>
      <c r="T49" s="24" t="n"/>
      <c r="U49" s="24" t="n"/>
      <c r="V49" s="24" t="n"/>
      <c r="W49" s="24" t="n"/>
      <c r="X49" s="24" t="n"/>
    </row>
    <row r="50">
      <c r="A50" s="24" t="inlineStr">
        <is>
          <t>Electronics</t>
        </is>
      </c>
      <c r="B50" s="24" t="inlineStr">
        <is>
          <t>NEMA17 Motor 17HS08-1004S</t>
        </is>
      </c>
      <c r="C50" s="24" t="n"/>
      <c r="D50" s="24" t="inlineStr">
        <is>
          <t>1</t>
        </is>
      </c>
      <c r="E50" s="24" t="inlineStr">
        <is>
          <t>All</t>
        </is>
      </c>
      <c r="F50" s="25">
        <f>HYPERLINK("https://www.aliexpress.com/item/32585429251.html","Aliexpress")</f>
        <v/>
      </c>
      <c r="G50" s="26">
        <f>HYPERLINK("https://s.click.aliexpress.com/e/_9RQa9O","[Affiliate Link]")</f>
        <v/>
      </c>
      <c r="H50" s="26">
        <f>HYPERLINK("https://www.omc-stepperonline.com/nema-17-stepper-motor/nema-17-bipolar-1-8deg-16ncm-22-6oz-in-1a-3-7v-42x42x20mm-4-wires.html","Stepper Online")</f>
        <v/>
      </c>
      <c r="I50" s="24" t="n"/>
      <c r="J50" s="26">
        <f>HYPERLINK("https://www.omc-stepperonline.com/nema-17-bipolar-1-8deg-16ncm-22-6oz-in-1a-3-7v-42x42x20mm-4-wires.html","Stepper Online")</f>
        <v/>
      </c>
      <c r="K50" s="24" t="n"/>
      <c r="L50" s="26">
        <f>HYPERLINK("https://docs.ldomotors.com/en/voron/LDO_Voron_Distributors","LDO")</f>
        <v/>
      </c>
      <c r="M50" s="24" t="n"/>
      <c r="N50" s="24" t="n"/>
      <c r="O50" s="24" t="n"/>
      <c r="P50" s="24" t="n"/>
      <c r="Q50" s="24" t="n"/>
      <c r="R50" s="24" t="n"/>
      <c r="S50" s="24" t="n"/>
      <c r="T50" s="24" t="n"/>
      <c r="U50" s="24" t="n"/>
      <c r="V50" s="24" t="n"/>
      <c r="W50" s="24" t="n"/>
      <c r="X50" s="24" t="n"/>
    </row>
    <row r="51">
      <c r="A51" s="24" t="inlineStr">
        <is>
          <t>Electronics</t>
        </is>
      </c>
      <c r="B51" s="24" t="inlineStr">
        <is>
          <t>Mean Well LRS-200-24 PSU</t>
        </is>
      </c>
      <c r="C51" s="24" t="n"/>
      <c r="D51" s="24" t="inlineStr">
        <is>
          <t>1</t>
        </is>
      </c>
      <c r="E51" s="24" t="inlineStr">
        <is>
          <t>All</t>
        </is>
      </c>
      <c r="F51" s="25">
        <f>HYPERLINK("https://www.digikey.com/products/en","Digikey")</f>
        <v/>
      </c>
      <c r="G51" s="24" t="n"/>
      <c r="H51" s="24" t="n"/>
      <c r="I51" s="24" t="n"/>
      <c r="J51" s="24" t="n"/>
      <c r="K51" s="24" t="n"/>
      <c r="L51" s="24" t="n"/>
      <c r="M51" s="24" t="n"/>
      <c r="N51" s="24" t="n"/>
      <c r="O51" s="24" t="n"/>
      <c r="P51" s="24" t="n"/>
      <c r="Q51" s="24" t="n"/>
      <c r="R51" s="24" t="n"/>
      <c r="S51" s="24" t="n"/>
      <c r="T51" s="24" t="n"/>
      <c r="U51" s="24" t="n"/>
      <c r="V51" s="24" t="n"/>
      <c r="W51" s="27" t="inlineStr">
        <is>
          <t>Do not cheap out on this. Get a legitimate MeanWell PSU. Higher wattage is not necessary since the bed is mains powered. Higher wattage also comes with a fan which adds to the noise. For regions that mandate PFC use the MeanWell RSP-200-24 instead of the LRS-200-24.</t>
        </is>
      </c>
      <c r="X51" s="24" t="n"/>
    </row>
    <row r="52">
      <c r="A52" s="24" t="inlineStr">
        <is>
          <t>Electronics</t>
        </is>
      </c>
      <c r="B52" s="24" t="inlineStr">
        <is>
          <t>TBC-09 Terminal Cover (optional, for LRS-200-24)</t>
        </is>
      </c>
      <c r="C52" s="24" t="n"/>
      <c r="D52" s="24" t="inlineStr">
        <is>
          <t>1</t>
        </is>
      </c>
      <c r="E52" s="24" t="inlineStr">
        <is>
          <t>All</t>
        </is>
      </c>
      <c r="F52" s="25">
        <f>HYPERLINK("https://www.digikey.com/products/en","Digikey")</f>
        <v/>
      </c>
      <c r="G52" s="24" t="n"/>
      <c r="H52" s="24" t="n"/>
      <c r="I52" s="24" t="n"/>
      <c r="J52" s="24" t="n"/>
      <c r="K52" s="24" t="n"/>
      <c r="L52" s="24" t="n"/>
      <c r="M52" s="24" t="n"/>
      <c r="N52" s="24" t="n"/>
      <c r="O52" s="24" t="n"/>
      <c r="P52" s="24" t="n"/>
      <c r="Q52" s="24" t="n"/>
      <c r="R52" s="24" t="n"/>
      <c r="S52" s="24" t="n"/>
      <c r="T52" s="24" t="n"/>
      <c r="U52" s="24" t="n"/>
      <c r="V52" s="24" t="n"/>
      <c r="W52" s="24" t="n"/>
      <c r="X52" s="24" t="n"/>
    </row>
    <row r="53">
      <c r="A53" s="24" t="inlineStr">
        <is>
          <t>Electronics</t>
        </is>
      </c>
      <c r="B53" s="24" t="inlineStr">
        <is>
          <t>Meanwell RS-25-5 PSU</t>
        </is>
      </c>
      <c r="C53" s="24" t="n"/>
      <c r="D53" s="24" t="inlineStr">
        <is>
          <t>1</t>
        </is>
      </c>
      <c r="E53" s="24" t="inlineStr">
        <is>
          <t>All</t>
        </is>
      </c>
      <c r="F53" s="25">
        <f>HYPERLINK("https://www.digikey.com/product-detail/en/mean-well-usa-inc/RS-25-5/1866-4145-ND/7706180","Digikey")</f>
        <v/>
      </c>
      <c r="G53" s="24" t="n"/>
      <c r="H53" s="24" t="n"/>
      <c r="I53" s="24" t="n"/>
      <c r="J53" s="24" t="n"/>
      <c r="K53" s="24" t="n"/>
      <c r="L53" s="24" t="n"/>
      <c r="M53" s="24" t="n"/>
      <c r="N53" s="24" t="n"/>
      <c r="O53" s="24" t="n"/>
      <c r="P53" s="24" t="n"/>
      <c r="Q53" s="24" t="n"/>
      <c r="R53" s="24" t="n"/>
      <c r="S53" s="24" t="n"/>
      <c r="T53" s="24" t="n"/>
      <c r="U53" s="24" t="n"/>
      <c r="V53" s="24" t="n"/>
      <c r="W53" s="27" t="inlineStr">
        <is>
          <t>Do not cheap out on this. Get a legitimate MeanWell PSU.</t>
        </is>
      </c>
      <c r="X53" s="24" t="n"/>
    </row>
    <row r="54">
      <c r="A54" s="24" t="inlineStr">
        <is>
          <t>Electronics</t>
        </is>
      </c>
      <c r="B54" s="24" t="inlineStr">
        <is>
          <t>TBC-05 Terminal Cover (optional, for RS-25-5)</t>
        </is>
      </c>
      <c r="C54" s="24" t="n"/>
      <c r="D54" s="24" t="n"/>
      <c r="E54" s="24" t="n"/>
      <c r="F54" s="25">
        <f>HYPERLINK("https://www.digikey.com/en/products/detail/mean-well-usa-inc/TBC-05/7707107","Digikey")</f>
        <v/>
      </c>
      <c r="G54" s="24" t="n"/>
      <c r="H54" s="24" t="n"/>
      <c r="I54" s="24" t="n"/>
      <c r="J54" s="24" t="n"/>
      <c r="K54" s="24" t="n"/>
      <c r="L54" s="24" t="n"/>
      <c r="M54" s="24" t="n"/>
      <c r="N54" s="24" t="n"/>
      <c r="O54" s="24" t="n"/>
      <c r="P54" s="24" t="n"/>
      <c r="Q54" s="24" t="n"/>
      <c r="R54" s="24" t="n"/>
      <c r="S54" s="24" t="n"/>
      <c r="T54" s="24" t="n"/>
      <c r="U54" s="24" t="n"/>
      <c r="V54" s="24" t="n"/>
      <c r="W54" s="24" t="n"/>
      <c r="X54" s="24" t="n"/>
    </row>
    <row r="55">
      <c r="A55" s="24" t="inlineStr">
        <is>
          <t>Electronics</t>
        </is>
      </c>
      <c r="B55" s="24" t="inlineStr">
        <is>
          <t>ZF - Rocker Switches DPST 16A ON-OFF</t>
        </is>
      </c>
      <c r="C55" s="24" t="n"/>
      <c r="D55" s="24" t="inlineStr">
        <is>
          <t>1</t>
        </is>
      </c>
      <c r="E55" s="24" t="inlineStr">
        <is>
          <t>All</t>
        </is>
      </c>
      <c r="F55" s="25">
        <f>HYPERLINK("https://www.digikey.com/products/en","Digikey (no Light)")</f>
        <v/>
      </c>
      <c r="G55" s="24" t="n"/>
      <c r="H55" s="26">
        <f>HYPERLINK("https://www.mouser.com/ProductDetail/ZF/WRG32F2BBRLN?qs=%2Fha2pyFadugTPgk3aI89ZNgIRYXUDJ2iew%252BR%252BPzJE%2FSagvnd6sid0w%3D%3D","Mouser (Red Light)")</f>
        <v/>
      </c>
      <c r="I55" s="24" t="n"/>
      <c r="J55" s="24" t="n"/>
      <c r="K55" s="24" t="n"/>
      <c r="L55" s="24" t="n"/>
      <c r="M55" s="24" t="n"/>
      <c r="N55" s="24" t="n"/>
      <c r="O55" s="24" t="n"/>
      <c r="P55" s="24" t="n"/>
      <c r="Q55" s="24" t="n"/>
      <c r="R55" s="24" t="n"/>
      <c r="S55" s="24" t="n"/>
      <c r="T55" s="24" t="n"/>
      <c r="U55" s="24" t="n"/>
      <c r="V55" s="24" t="n"/>
      <c r="W55" s="27" t="inlineStr">
        <is>
          <t>Note the Mouser (Red Light) only has a 125v indicator in it. For 220/240 countries use the no light model</t>
        </is>
      </c>
      <c r="X55" s="24" t="n"/>
    </row>
    <row r="56">
      <c r="A56" s="24" t="inlineStr">
        <is>
          <t>Electronics</t>
        </is>
      </c>
      <c r="B56" s="24" t="inlineStr">
        <is>
          <t>Fuse Medium Time Delay Acting 8A 250V Holder Cartridge 5 X 20mm Glass</t>
        </is>
      </c>
      <c r="C56" s="24" t="n"/>
      <c r="D56" s="24" t="inlineStr">
        <is>
          <t>2</t>
        </is>
      </c>
      <c r="E56" s="24" t="inlineStr">
        <is>
          <t>All</t>
        </is>
      </c>
      <c r="F56" s="25">
        <f>HYPERLINK("https://www.digikey.com/products/en","Digikey")</f>
        <v/>
      </c>
      <c r="G56" s="24" t="n"/>
      <c r="H56" s="24" t="n"/>
      <c r="I56" s="24" t="n"/>
      <c r="J56" s="24" t="n"/>
      <c r="K56" s="24" t="n"/>
      <c r="L56" s="24" t="n"/>
      <c r="M56" s="24" t="n"/>
      <c r="N56" s="24" t="n"/>
      <c r="O56" s="24" t="n"/>
      <c r="P56" s="24" t="n"/>
      <c r="Q56" s="24" t="n"/>
      <c r="R56" s="24" t="n"/>
      <c r="S56" s="24" t="n"/>
      <c r="T56" s="24" t="n"/>
      <c r="U56" s="24" t="n"/>
      <c r="V56" s="24" t="n"/>
      <c r="W56" s="27" t="inlineStr">
        <is>
          <t>For areas with 120V mains systems.</t>
        </is>
      </c>
      <c r="X56" s="24" t="n"/>
    </row>
    <row r="57">
      <c r="A57" s="24" t="inlineStr">
        <is>
          <t>Electronics</t>
        </is>
      </c>
      <c r="B57" s="24" t="inlineStr">
        <is>
          <t>Fuse Medium Time Delay Acting 4A 250V Holder Cartridge 5 X 20mm Glass</t>
        </is>
      </c>
      <c r="C57" s="24" t="n"/>
      <c r="D57" s="24" t="inlineStr">
        <is>
          <t>2</t>
        </is>
      </c>
      <c r="E57" s="24" t="inlineStr">
        <is>
          <t>All</t>
        </is>
      </c>
      <c r="F57" s="25">
        <f>HYPERLINK("https://www.digikey.com/en/products/detail/littelfuse-inc/0232004-MXP/778023","Digikey")</f>
        <v/>
      </c>
      <c r="G57" s="24" t="n"/>
      <c r="H57" s="24" t="n"/>
      <c r="I57" s="24" t="n"/>
      <c r="J57" s="24" t="n"/>
      <c r="K57" s="24" t="n"/>
      <c r="L57" s="24" t="n"/>
      <c r="M57" s="24" t="n"/>
      <c r="N57" s="24" t="n"/>
      <c r="O57" s="24" t="n"/>
      <c r="P57" s="24" t="n"/>
      <c r="Q57" s="24" t="n"/>
      <c r="R57" s="24" t="n"/>
      <c r="S57" s="24" t="n"/>
      <c r="T57" s="24" t="n"/>
      <c r="U57" s="24" t="n"/>
      <c r="V57" s="24" t="n"/>
      <c r="W57" s="27" t="inlineStr">
        <is>
          <t>For areas with 220V mains systems. Digikey can be expensive for EU customers, and this part can often be found cheaper at a local hardware or automotive store.</t>
        </is>
      </c>
      <c r="X57" s="24" t="n"/>
    </row>
    <row r="58">
      <c r="A58" s="24" t="inlineStr">
        <is>
          <t>Electronics</t>
        </is>
      </c>
      <c r="B58" s="24" t="inlineStr">
        <is>
          <t>TycoElectronics - 10EGG1-2 (Normal) or 10EHG1-2 (Medical): Filtered Power Inlet</t>
        </is>
      </c>
      <c r="C58" s="24" t="n"/>
      <c r="D58" s="24" t="inlineStr">
        <is>
          <t>1</t>
        </is>
      </c>
      <c r="E58" s="24" t="inlineStr">
        <is>
          <t>All</t>
        </is>
      </c>
      <c r="F58" s="25">
        <f>HYPERLINK("https://www.digikey.com/products/en","Digikey")</f>
        <v/>
      </c>
      <c r="G58" s="24" t="n"/>
      <c r="H58" s="26">
        <f>HYPERLINK("https://www.mouser.com/ProductDetail/TE-Connectivity-PB/10EGG1-2?qs=vcjNRp8H9z2nhEkRL4AXYw%3D%3D","Mouser")</f>
        <v/>
      </c>
      <c r="I58" s="24" t="n"/>
      <c r="J58" s="24" t="n"/>
      <c r="K58" s="24" t="n"/>
      <c r="L58" s="24" t="n"/>
      <c r="M58" s="24" t="n"/>
      <c r="N58" s="24" t="n"/>
      <c r="O58" s="24" t="n"/>
      <c r="P58" s="24" t="n"/>
      <c r="Q58" s="24" t="n"/>
      <c r="R58" s="24" t="n"/>
      <c r="S58" s="24" t="n"/>
      <c r="T58" s="24" t="n"/>
      <c r="U58" s="24" t="n"/>
      <c r="V58" s="24" t="n"/>
      <c r="W58" s="27" t="inlineStr">
        <is>
          <t>For European dual-fuse builds</t>
        </is>
      </c>
      <c r="X58" s="24" t="n"/>
    </row>
    <row r="59">
      <c r="A59" s="24" t="inlineStr">
        <is>
          <t>Electronics</t>
        </is>
      </c>
      <c r="B59" s="24" t="inlineStr">
        <is>
          <t>TycoElectronics - 10EGG1-1 (Normal) or 10EHG1-1 (Medical): Filtered Power Inlet</t>
        </is>
      </c>
      <c r="C59" s="24" t="n"/>
      <c r="D59" s="24" t="inlineStr">
        <is>
          <t>1</t>
        </is>
      </c>
      <c r="E59" s="24" t="inlineStr">
        <is>
          <t>All</t>
        </is>
      </c>
      <c r="F59" s="25">
        <f>HYPERLINK("https://www.digikey.com/en/products/detail/te-connectivity-corcom-filters/3-1609115-4/2032295","Digikey")</f>
        <v/>
      </c>
      <c r="G59" s="24" t="n"/>
      <c r="H59" s="26">
        <f>HYPERLINK("https://www.mouser.com/ProductDetail/TE-Connectivity-PB/10EGG1-1?qs=vcjNRp8H9z1CsIf%2F5OknUw%3D%3D","Mouser")</f>
        <v/>
      </c>
      <c r="I59" s="24" t="n"/>
      <c r="J59" s="24" t="n"/>
      <c r="K59" s="24" t="n"/>
      <c r="L59" s="24" t="n"/>
      <c r="M59" s="24" t="n"/>
      <c r="N59" s="24" t="n"/>
      <c r="O59" s="24" t="n"/>
      <c r="P59" s="24" t="n"/>
      <c r="Q59" s="24" t="n"/>
      <c r="R59" s="24" t="n"/>
      <c r="S59" s="24" t="n"/>
      <c r="T59" s="24" t="n"/>
      <c r="U59" s="24" t="n"/>
      <c r="V59" s="24" t="n"/>
      <c r="W59" s="27" t="inlineStr">
        <is>
          <t>For North American &amp; UK single-fuse builds</t>
        </is>
      </c>
      <c r="X59" s="24" t="n"/>
    </row>
    <row r="60">
      <c r="A60" s="24" t="inlineStr">
        <is>
          <t>Electronics</t>
        </is>
      </c>
      <c r="B60" s="24" t="inlineStr">
        <is>
          <t>C13 Power Cord</t>
        </is>
      </c>
      <c r="C60" s="24" t="n"/>
      <c r="D60" s="24" t="inlineStr">
        <is>
          <t>1</t>
        </is>
      </c>
      <c r="E60" s="24" t="inlineStr">
        <is>
          <t>All</t>
        </is>
      </c>
      <c r="F60" s="25">
        <f>HYPERLINK("https://www.amazon.com/dp/B072LNKHBB","Amazon")</f>
        <v/>
      </c>
      <c r="G60" s="24" t="n"/>
      <c r="H60" s="24" t="n"/>
      <c r="I60" s="24" t="n"/>
      <c r="J60" s="24" t="n"/>
      <c r="K60" s="24" t="n"/>
      <c r="L60" s="24" t="n"/>
      <c r="M60" s="24" t="n"/>
      <c r="N60" s="24" t="n"/>
      <c r="O60" s="24" t="n"/>
      <c r="P60" s="24" t="n"/>
      <c r="Q60" s="24" t="n"/>
      <c r="R60" s="24" t="n"/>
      <c r="S60" s="24" t="n"/>
      <c r="T60" s="24" t="n"/>
      <c r="U60" s="24" t="n"/>
      <c r="V60" s="24" t="n"/>
      <c r="W60" s="24" t="n"/>
      <c r="X60" s="24" t="n"/>
    </row>
    <row r="61">
      <c r="A61" s="24" t="inlineStr">
        <is>
          <t>Electronics</t>
        </is>
      </c>
      <c r="B61" s="24" t="inlineStr">
        <is>
          <t>E3D V6 Bowden Hotend Kit (24V)</t>
        </is>
      </c>
      <c r="C61" s="24" t="n"/>
      <c r="D61" s="24" t="inlineStr">
        <is>
          <t>1</t>
        </is>
      </c>
      <c r="E61" s="24" t="inlineStr">
        <is>
          <t>All</t>
        </is>
      </c>
      <c r="F61" s="25">
        <f>HYPERLINK("https://www.aliexpress.com/item/32844028127.html","Trianglelab")</f>
        <v/>
      </c>
      <c r="G61" s="26">
        <f>HYPERLINK("https://s.click.aliexpress.com/e/_A3iL6c","[Affiliate Link]")</f>
        <v/>
      </c>
      <c r="H61" s="26">
        <f>HYPERLINK("https://www.filastruder.com/products/all-metal-e3d-v6-hotend","Filastruder")</f>
        <v/>
      </c>
      <c r="I61" s="24" t="n"/>
      <c r="J61" s="26">
        <f>HYPERLINK("https://www.printedsolid.com/products/e3d-hot-end-kit-v6?variant=22124184600661","Printed Solid")</f>
        <v/>
      </c>
      <c r="K61" s="24" t="n"/>
      <c r="L61" s="24" t="n"/>
      <c r="M61" s="24" t="n"/>
      <c r="N61" s="24" t="n"/>
      <c r="O61" s="24" t="n"/>
      <c r="P61" s="24" t="n"/>
      <c r="Q61" s="24" t="n"/>
      <c r="R61" s="24" t="n"/>
      <c r="S61" s="24" t="n"/>
      <c r="T61" s="24" t="n"/>
      <c r="U61" s="24" t="n"/>
      <c r="V61" s="24" t="n"/>
      <c r="W61" s="27" t="inlineStr">
        <is>
          <t>Trianglelab sells inexpensive clones of the E3D v6 assembly that is as good, if not better, than the original part. There is no reason to buy the "legit" part here unless you don't like money. Purchase the all metal option. PTFE lined will break down at ABS temps.</t>
        </is>
      </c>
      <c r="X61" s="24" t="n"/>
    </row>
    <row r="62">
      <c r="A62" s="24" t="inlineStr">
        <is>
          <t>Electronics</t>
        </is>
      </c>
      <c r="B62" s="24" t="inlineStr">
        <is>
          <t>40x40x10 Axial Fan - Ball Bearing (24V)</t>
        </is>
      </c>
      <c r="C62" s="24" t="n"/>
      <c r="D62" s="24" t="inlineStr">
        <is>
          <t>1</t>
        </is>
      </c>
      <c r="E62" s="24" t="inlineStr">
        <is>
          <t>All</t>
        </is>
      </c>
      <c r="F62" s="25">
        <f>HYPERLINK("https://www.aliexpress.com/item/32868163248.html","Aliexpress")</f>
        <v/>
      </c>
      <c r="G62" s="26">
        <f>HYPERLINK("https://s.click.aliexpress.com/e/_AUbIY8","[Affiliate Link]")</f>
        <v/>
      </c>
      <c r="H62" s="26">
        <f>HYPERLINK("https://www.aliexpress.com/item/32726640438.html","GDSTIME")</f>
        <v/>
      </c>
      <c r="I62" s="26">
        <f>HYPERLINK("https://s.click.aliexpress.com/e/_d8MBoAW","[Affiliate Link]")</f>
        <v/>
      </c>
      <c r="J62" s="26">
        <f>HYPERLINK("https://www.aliexpress.com/item/32727867521.html","GDSTIME (Aliexpress)")</f>
        <v/>
      </c>
      <c r="K62" s="26">
        <f>HYPERLINK("https://s.click.aliexpress.com/e/_d8MBoAW","[Affiliate Link]")</f>
        <v/>
      </c>
      <c r="L62" s="26">
        <f>HYPERLINK("https://www.amazon.com/dp/B07DB5H6K1","Amazon")</f>
        <v/>
      </c>
      <c r="M62" s="24" t="n"/>
      <c r="N62" s="26">
        <f>HYPERLINK("https://s.click.aliexpress.com/e/_d8MBoAW","AliExpress")</f>
        <v/>
      </c>
      <c r="O62" s="24" t="n"/>
      <c r="P62" s="24" t="n"/>
      <c r="Q62" s="24" t="n"/>
      <c r="R62" s="24" t="n"/>
      <c r="S62" s="24" t="n"/>
      <c r="T62" s="24" t="n"/>
      <c r="U62" s="24" t="n"/>
      <c r="V62" s="24" t="n"/>
      <c r="W62" s="27" t="inlineStr">
        <is>
          <t>Pretty much any fan here will work--airflow is less restricted through toolhead</t>
        </is>
      </c>
      <c r="X62" s="28" t="inlineStr">
        <is>
          <t>some links were dead</t>
        </is>
      </c>
    </row>
    <row r="63">
      <c r="A63" s="24" t="inlineStr">
        <is>
          <t>Electronics</t>
        </is>
      </c>
      <c r="B63" s="24" t="inlineStr">
        <is>
          <t>50x50x15 Centrifugal Fan (24V)</t>
        </is>
      </c>
      <c r="C63" s="24" t="n"/>
      <c r="D63" s="24" t="inlineStr">
        <is>
          <t>1</t>
        </is>
      </c>
      <c r="E63" s="24" t="inlineStr">
        <is>
          <t>All</t>
        </is>
      </c>
      <c r="F63" s="24" t="n"/>
      <c r="G63" s="24" t="n"/>
      <c r="H63" s="24" t="n"/>
      <c r="I63" s="24" t="n"/>
      <c r="J63" s="24" t="n"/>
      <c r="K63" s="24" t="n"/>
      <c r="L63" s="24" t="n"/>
      <c r="M63" s="24" t="n"/>
      <c r="N63" s="24" t="n"/>
      <c r="O63" s="24" t="n"/>
      <c r="P63" s="24" t="n"/>
      <c r="Q63" s="24" t="n"/>
      <c r="R63" s="24" t="n"/>
      <c r="S63" s="24" t="n"/>
      <c r="T63" s="24" t="n"/>
      <c r="U63" s="24" t="n"/>
      <c r="V63" s="24" t="n"/>
      <c r="W63" s="24" t="n"/>
      <c r="X63" s="24" t="n"/>
    </row>
    <row r="64">
      <c r="A64" s="24" t="inlineStr">
        <is>
          <t>Electronics</t>
        </is>
      </c>
      <c r="B64" s="24" t="inlineStr">
        <is>
          <t>60x60x20 Axial Fan (24V)</t>
        </is>
      </c>
      <c r="C64" s="24" t="n"/>
      <c r="D64" s="24" t="inlineStr">
        <is>
          <t>2</t>
        </is>
      </c>
      <c r="E64" s="24" t="inlineStr">
        <is>
          <t>All</t>
        </is>
      </c>
      <c r="F64" s="25">
        <f>HYPERLINK("https://www.digikey.com/product-detail/en/orion-fans/OD6020-24HB/1053-1234-ND/2621139","DigiKey")</f>
        <v/>
      </c>
      <c r="G64" s="24" t="n"/>
      <c r="H64" s="26">
        <f>HYPERLINK("https://www.aliexpress.com/item/32899594270.html","GDSTIME")</f>
        <v/>
      </c>
      <c r="I64" s="26">
        <f>HYPERLINK("https://s.click.aliexpress.com/e/_d67FlLy","[Affiliate Link]")</f>
        <v/>
      </c>
      <c r="J64" s="24" t="n"/>
      <c r="K64" s="24" t="n"/>
      <c r="L64" s="24" t="n"/>
      <c r="M64" s="24" t="n"/>
      <c r="N64" s="24" t="n"/>
      <c r="O64" s="24" t="n"/>
      <c r="P64" s="24" t="n"/>
      <c r="Q64" s="24" t="n"/>
      <c r="R64" s="24" t="n"/>
      <c r="S64" s="24" t="n"/>
      <c r="T64" s="24" t="n"/>
      <c r="U64" s="24" t="n"/>
      <c r="V64" s="24" t="n"/>
      <c r="W64" s="24" t="n"/>
      <c r="X64" s="28" t="inlineStr">
        <is>
          <t>some links were dead</t>
        </is>
      </c>
    </row>
    <row r="65">
      <c r="A65" s="24" t="inlineStr">
        <is>
          <t>Electronics</t>
        </is>
      </c>
      <c r="B65" s="24" t="inlineStr">
        <is>
          <t>Thermal Fuse</t>
        </is>
      </c>
      <c r="C65" s="24" t="n"/>
      <c r="D65" s="24" t="inlineStr">
        <is>
          <t>1</t>
        </is>
      </c>
      <c r="E65" s="24" t="inlineStr">
        <is>
          <t>All</t>
        </is>
      </c>
      <c r="F65" s="24" t="n"/>
      <c r="G65" s="24" t="n"/>
      <c r="H65" s="24" t="n"/>
      <c r="I65" s="24" t="n"/>
      <c r="J65" s="24" t="n"/>
      <c r="K65" s="24" t="n"/>
      <c r="L65" s="24" t="n"/>
      <c r="M65" s="24" t="n"/>
      <c r="N65" s="24" t="n"/>
      <c r="O65" s="24" t="n"/>
      <c r="P65" s="24" t="n"/>
      <c r="Q65" s="24" t="n"/>
      <c r="R65" s="24" t="n"/>
      <c r="S65" s="24" t="n"/>
      <c r="T65" s="24" t="n"/>
      <c r="U65" s="24" t="n"/>
      <c r="V65" s="24" t="n"/>
      <c r="W65" s="27" t="inlineStr">
        <is>
          <t>Buy a 150C thermal cutoff, you want the fuse to blow before the heater falls off the bed</t>
        </is>
      </c>
      <c r="X65" s="28" t="inlineStr">
        <is>
          <t>all links were dead</t>
        </is>
      </c>
    </row>
    <row r="66">
      <c r="A66" s="5" t="inlineStr">
        <is>
          <t>Controller</t>
        </is>
      </c>
      <c r="B66" s="5" t="inlineStr">
        <is>
          <t>RaspberryPi4</t>
        </is>
      </c>
      <c r="C66" s="5" t="n"/>
      <c r="D66" s="5" t="inlineStr">
        <is>
          <t>1</t>
        </is>
      </c>
      <c r="E66" s="5" t="inlineStr">
        <is>
          <t>All</t>
        </is>
      </c>
      <c r="F66" s="6">
        <f>HYPERLINK("https://www.amazon.com/dp/B07TD42S27","Amazon")</f>
        <v/>
      </c>
      <c r="G66" s="5" t="n"/>
      <c r="H66" s="5" t="n"/>
      <c r="I66" s="5" t="n"/>
      <c r="J66" s="5" t="n"/>
      <c r="K66" s="5" t="n"/>
      <c r="L66" s="5" t="n"/>
      <c r="M66" s="5" t="n"/>
      <c r="N66" s="5" t="n"/>
      <c r="O66" s="5" t="n"/>
      <c r="P66" s="5" t="n"/>
      <c r="Q66" s="5" t="n"/>
      <c r="R66" s="5" t="n"/>
      <c r="S66" s="5" t="n"/>
      <c r="T66" s="5" t="n"/>
      <c r="U66" s="5" t="n"/>
      <c r="V66" s="5" t="n"/>
      <c r="W66" s="8" t="inlineStr">
        <is>
          <t>Quirks with the Raspberry Pi 4 have largely been figured out, and the Pi 3 B+ is no longer readily available. 2GB RAM version is plenty!</t>
        </is>
      </c>
      <c r="X66" s="29" t="inlineStr">
        <is>
          <t>some links were dead</t>
        </is>
      </c>
    </row>
    <row r="67">
      <c r="A67" s="5" t="inlineStr">
        <is>
          <t>Controller</t>
        </is>
      </c>
      <c r="B67" s="5" t="inlineStr">
        <is>
          <t>MicroSD Card</t>
        </is>
      </c>
      <c r="C67" s="5" t="n"/>
      <c r="D67" s="5" t="inlineStr">
        <is>
          <t>1</t>
        </is>
      </c>
      <c r="E67" s="5" t="inlineStr">
        <is>
          <t>All</t>
        </is>
      </c>
      <c r="F67" s="6">
        <f>HYPERLINK("https://www.amazon.com/dp/B073JYVKNX","Amazon (64gb)")</f>
        <v/>
      </c>
      <c r="G67" s="5" t="n"/>
      <c r="H67" s="7">
        <f>HYPERLINK("https://www.amazon.com/dp/B0749KG1JK","Amazon (32gb)")</f>
        <v/>
      </c>
      <c r="I67" s="5" t="n"/>
      <c r="J67" s="7">
        <f>HYPERLINK("https://amzn.to/2PDYXWX","Amazon")</f>
        <v/>
      </c>
      <c r="K67" s="5" t="n"/>
      <c r="L67" s="5" t="n"/>
      <c r="M67" s="5" t="n"/>
      <c r="N67" s="5" t="n"/>
      <c r="O67" s="5" t="n"/>
      <c r="P67" s="5" t="n"/>
      <c r="Q67" s="5" t="n"/>
      <c r="R67" s="5" t="n"/>
      <c r="S67" s="5" t="n"/>
      <c r="T67" s="5" t="n"/>
      <c r="U67" s="5" t="n"/>
      <c r="V67" s="5" t="n"/>
      <c r="W67" s="8" t="inlineStr">
        <is>
          <t>This SD card is a bit faster than the previously sourced one, but the difference should be minimal</t>
        </is>
      </c>
      <c r="X67" s="5" t="n"/>
    </row>
    <row r="68">
      <c r="A68" s="5" t="inlineStr">
        <is>
          <t>Controller</t>
        </is>
      </c>
      <c r="B68" s="5" t="inlineStr">
        <is>
          <t>6 Stepper Controller (or multiple to equal 6+ steppers)</t>
        </is>
      </c>
      <c r="C68" s="5" t="n"/>
      <c r="D68" s="5" t="inlineStr">
        <is>
          <t>1</t>
        </is>
      </c>
      <c r="E68" s="5" t="inlineStr">
        <is>
          <t>All</t>
        </is>
      </c>
      <c r="F68" s="6">
        <f>HYPERLINK("https://www.aliexpress.com/item/1005002324070189.html","Aliexpress (FYSETC)")</f>
        <v/>
      </c>
      <c r="G68" s="7">
        <f>HYPERLINK("https://s.click.aliexpress.com/e/_Aeeig4","[Affiliate Link]")</f>
        <v/>
      </c>
      <c r="H68" s="7">
        <f>HYPERLINK("https://www.aliexpress.com/item/1005002611654405.html","Aliexpress (BTT)")</f>
        <v/>
      </c>
      <c r="I68" s="7">
        <f>HYPERLINK("https://s.click.aliexpress.com/e/_A5y24k","[Affiliate Link]")</f>
        <v/>
      </c>
      <c r="J68" s="5" t="n"/>
      <c r="K68" s="5" t="n"/>
      <c r="L68" s="5" t="n"/>
      <c r="M68" s="5" t="n"/>
      <c r="N68" s="5" t="n"/>
      <c r="O68" s="5" t="n"/>
      <c r="P68" s="5" t="n"/>
      <c r="Q68" s="5" t="n"/>
      <c r="R68" s="5" t="n"/>
      <c r="S68" s="5" t="n"/>
      <c r="T68" s="5" t="n"/>
      <c r="U68" s="5" t="n"/>
      <c r="V68" s="5" t="n"/>
      <c r="W68" s="8" t="inlineStr">
        <is>
          <t>At the moment there is no official preference on controller choice. Mount options are provided for all the common combinations.</t>
        </is>
      </c>
      <c r="X68" s="5" t="n"/>
    </row>
    <row r="69">
      <c r="A69" s="5" t="inlineStr">
        <is>
          <t>Controller</t>
        </is>
      </c>
      <c r="B69" s="5" t="inlineStr">
        <is>
          <t>TMC 2209 Drivers</t>
        </is>
      </c>
      <c r="C69" s="5" t="n"/>
      <c r="D69" s="5" t="inlineStr">
        <is>
          <t>6</t>
        </is>
      </c>
      <c r="E69" s="5" t="inlineStr">
        <is>
          <t>All</t>
        </is>
      </c>
      <c r="F69" s="6">
        <f>HYPERLINK("https://www.aliexpress.com/item/33029587820.html","BIGTREETECH")</f>
        <v/>
      </c>
      <c r="G69" s="7">
        <f>HYPERLINK("https://s.click.aliexpress.com/e/_dUlA1Bk","[Affiliate Link]")</f>
        <v/>
      </c>
      <c r="H69" s="7">
        <f>HYPERLINK("https://www.aliexpress.com/item/4000206288948.html","Aliexpress")</f>
        <v/>
      </c>
      <c r="I69" s="7">
        <f>HYPERLINK("https://s.click.aliexpress.com/e/38lTe6y0","[Affiliate Link]")</f>
        <v/>
      </c>
      <c r="J69" s="7">
        <f>HYPERLINK("https://www.aliexpress.com/item/33047241001.html","Just the Drivers (TMC 2209)")</f>
        <v/>
      </c>
      <c r="K69" s="7">
        <f>HYPERLINK("https://s.click.aliexpress.com/e/_dW2vIwt","[Affiliate Link]")</f>
        <v/>
      </c>
      <c r="L69" s="5" t="n"/>
      <c r="M69" s="5" t="n"/>
      <c r="N69" s="5" t="n"/>
      <c r="O69" s="5" t="n"/>
      <c r="P69" s="5" t="n"/>
      <c r="Q69" s="5" t="n"/>
      <c r="R69" s="5" t="n"/>
      <c r="S69" s="5" t="n"/>
      <c r="T69" s="5" t="n"/>
      <c r="U69" s="5" t="n"/>
      <c r="V69" s="5" t="n"/>
      <c r="W69" s="8" t="inlineStr">
        <is>
          <t>Generally purchasing BTT 2209s is the safest option</t>
        </is>
      </c>
      <c r="X69" s="5" t="n"/>
    </row>
    <row r="70">
      <c r="A70" s="5" t="inlineStr">
        <is>
          <t>Controller</t>
        </is>
      </c>
      <c r="B70" s="5" t="inlineStr">
        <is>
          <t>FYSETC mini12864 Display (Type B)</t>
        </is>
      </c>
      <c r="C70" s="5" t="n"/>
      <c r="D70" s="5" t="inlineStr">
        <is>
          <t>1</t>
        </is>
      </c>
      <c r="E70" s="5" t="inlineStr">
        <is>
          <t>All</t>
        </is>
      </c>
      <c r="F70" s="6">
        <f>HYPERLINK("https://www.aliexpress.com/item/32980210325.html","Aliexpress (FYSETC)")</f>
        <v/>
      </c>
      <c r="G70" s="7">
        <f>HYPERLINK("https://s.click.aliexpress.com/e/_dUYlfGD","[Affiliate Link]")</f>
        <v/>
      </c>
      <c r="H70" s="5" t="n"/>
      <c r="I70" s="5" t="n"/>
      <c r="J70" s="5" t="n"/>
      <c r="K70" s="5" t="n"/>
      <c r="L70" s="5" t="n"/>
      <c r="M70" s="5" t="n"/>
      <c r="N70" s="5" t="n"/>
      <c r="O70" s="5" t="n"/>
      <c r="P70" s="5" t="n"/>
      <c r="Q70" s="5" t="n"/>
      <c r="R70" s="5" t="n"/>
      <c r="S70" s="5" t="n"/>
      <c r="T70" s="5" t="n"/>
      <c r="U70" s="5" t="n"/>
      <c r="V70" s="5" t="n"/>
      <c r="W70" s="8" t="inlineStr">
        <is>
          <t>mini12864 display is more compact and updates the display look a bit! Type B is what I have</t>
        </is>
      </c>
      <c r="X70" s="5" t="n"/>
    </row>
    <row r="71">
      <c r="A71" s="30" t="inlineStr">
        <is>
          <t>Frame</t>
        </is>
      </c>
      <c r="B71" s="30" t="inlineStr">
        <is>
          <t>Misumi HFSB5-2020 (Size depends - use configurator)</t>
        </is>
      </c>
      <c r="C71" s="30" t="n"/>
      <c r="D71" s="30" t="n"/>
      <c r="E71" s="30" t="n"/>
      <c r="F71" s="32">
        <f>HYPERLINK("https://us.misumi-ec.com/vona2/detail/110302683830?Inch=0","Misumi")</f>
        <v/>
      </c>
      <c r="G71" s="30" t="n"/>
      <c r="H71" s="33">
        <f>HYPERLINK("https://docs.ldomotors.com/en/voron/LDO_Voron_Distributors","LDO")</f>
        <v/>
      </c>
      <c r="I71" s="30" t="n"/>
      <c r="J71" s="30" t="n"/>
      <c r="K71" s="30" t="n"/>
      <c r="L71" s="30" t="n"/>
      <c r="M71" s="30" t="n"/>
      <c r="N71" s="30" t="n"/>
      <c r="O71" s="30" t="n"/>
      <c r="P71" s="30" t="n"/>
      <c r="Q71" s="30" t="n"/>
      <c r="R71" s="30" t="n"/>
      <c r="S71" s="30" t="n"/>
      <c r="T71" s="30" t="n"/>
      <c r="U71" s="30" t="n"/>
      <c r="V71" s="30" t="n"/>
      <c r="W71" s="30" t="n"/>
      <c r="X71" s="30" t="n"/>
    </row>
    <row r="72">
      <c r="A72" s="30" t="inlineStr">
        <is>
          <t>Frame</t>
        </is>
      </c>
      <c r="B72" s="30" t="inlineStr">
        <is>
          <t>HFSB5-2020-500-LCP-RCP-AV360</t>
        </is>
      </c>
      <c r="C72" s="30" t="inlineStr">
        <is>
          <t>B</t>
        </is>
      </c>
      <c r="D72" s="30" t="inlineStr">
        <is>
          <t>4</t>
        </is>
      </c>
      <c r="E72" s="30" t="inlineStr">
        <is>
          <t>250x250x250</t>
        </is>
      </c>
      <c r="F72" s="32">
        <f>HYPERLINK("https://us.misumi-ec.com/vona2/detail/110302683830?HissuCode=HFSB5-2020-500-LCP-RCP-AV360&amp;Keyword=HFSB5-2020-500-LCP-RCP-AV360&amp;PNSearch=HFSB5-2020-500-LCP-RCP-AV360&amp;searchFlow=suggest2products","Misumi")</f>
        <v/>
      </c>
      <c r="G72" s="30" t="n"/>
      <c r="H72" s="30" t="n"/>
      <c r="I72" s="30" t="n"/>
      <c r="J72" s="30" t="n"/>
      <c r="K72" s="30" t="n"/>
      <c r="L72" s="30" t="n"/>
      <c r="M72" s="30" t="n"/>
      <c r="N72" s="30" t="n"/>
      <c r="O72" s="30" t="n"/>
      <c r="P72" s="30" t="n"/>
      <c r="Q72" s="30" t="n"/>
      <c r="R72" s="30" t="n"/>
      <c r="S72" s="30" t="n"/>
      <c r="T72" s="30" t="n"/>
      <c r="U72" s="30" t="n"/>
      <c r="V72" s="30" t="n"/>
      <c r="W72" s="34" t="inlineStr">
        <is>
          <t>Vertical extrusions with blind joint access holes pre-drilled. Can DIY holes for cost savings. Use 6mm drill</t>
        </is>
      </c>
      <c r="X72" s="30" t="n"/>
    </row>
    <row r="73">
      <c r="A73" s="30" t="inlineStr">
        <is>
          <t>Frame</t>
        </is>
      </c>
      <c r="B73" s="30" t="inlineStr">
        <is>
          <t>HFSB5-2020-500-LCP-RCP-AV360</t>
        </is>
      </c>
      <c r="C73" s="30" t="inlineStr">
        <is>
          <t>B</t>
        </is>
      </c>
      <c r="D73" s="30" t="inlineStr">
        <is>
          <t>4</t>
        </is>
      </c>
      <c r="E73" s="30" t="inlineStr">
        <is>
          <t>300x300x250</t>
        </is>
      </c>
      <c r="F73" s="32">
        <f>HYPERLINK("https://us.misumi-ec.com/vona2/detail/110302683830?HissuCode=HFSB5-2020-500-LCP-RCP-AV360&amp;Keyword=HFSB5-2020-500-LCP-RCP-AV360&amp;PNSearch=HFSB5-2020-500-LCP-RCP-AV360&amp;searchFlow=suggest2products","Misumi")</f>
        <v/>
      </c>
      <c r="G73" s="30" t="n"/>
      <c r="H73" s="30" t="n"/>
      <c r="I73" s="30" t="n"/>
      <c r="J73" s="30" t="n"/>
      <c r="K73" s="30" t="n"/>
      <c r="L73" s="30" t="n"/>
      <c r="M73" s="30" t="n"/>
      <c r="N73" s="30" t="n"/>
      <c r="O73" s="30" t="n"/>
      <c r="P73" s="30" t="n"/>
      <c r="Q73" s="30" t="n"/>
      <c r="R73" s="30" t="n"/>
      <c r="S73" s="30" t="n"/>
      <c r="T73" s="30" t="n"/>
      <c r="U73" s="30" t="n"/>
      <c r="V73" s="30" t="n"/>
      <c r="W73" s="34" t="inlineStr">
        <is>
          <t>Vertical extrusions with blind joint access holes pre-drilled. Can DIY holes for cost savings. Use 6mm drill</t>
        </is>
      </c>
      <c r="X73" s="30" t="n"/>
    </row>
    <row r="74">
      <c r="A74" s="30" t="inlineStr">
        <is>
          <t>Frame</t>
        </is>
      </c>
      <c r="B74" s="30" t="inlineStr">
        <is>
          <t>HFSB5-2020-500-LCP-RCP-AV360</t>
        </is>
      </c>
      <c r="C74" s="30" t="inlineStr">
        <is>
          <t>B</t>
        </is>
      </c>
      <c r="D74" s="30" t="inlineStr">
        <is>
          <t>4</t>
        </is>
      </c>
      <c r="E74" s="30" t="inlineStr">
        <is>
          <t>350x350x250</t>
        </is>
      </c>
      <c r="F74" s="32">
        <f>HYPERLINK("https://us.misumi-ec.com/vona2/detail/110302683830?HissuCode=HFSB5-2020-500-LCP-RCP-AV360&amp;Keyword=HFSB5-2020-500-LCP-RCP-AV360&amp;PNSearch=HFSB5-2020-500-LCP-RCP-AV360&amp;searchFlow=suggest2products","Misumi")</f>
        <v/>
      </c>
      <c r="G74" s="30" t="n"/>
      <c r="H74" s="30" t="n"/>
      <c r="I74" s="30" t="n"/>
      <c r="J74" s="30" t="n"/>
      <c r="K74" s="30" t="n"/>
      <c r="L74" s="30" t="n"/>
      <c r="M74" s="30" t="n"/>
      <c r="N74" s="30" t="n"/>
      <c r="O74" s="30" t="n"/>
      <c r="P74" s="30" t="n"/>
      <c r="Q74" s="30" t="n"/>
      <c r="R74" s="30" t="n"/>
      <c r="S74" s="30" t="n"/>
      <c r="T74" s="30" t="n"/>
      <c r="U74" s="30" t="n"/>
      <c r="V74" s="30" t="n"/>
      <c r="W74" s="34" t="inlineStr">
        <is>
          <t>Vertical extrusions with blind joint access holes pre-drilled. Can DIY holes for cost savings. Use 6mm drill</t>
        </is>
      </c>
      <c r="X74" s="30" t="n"/>
    </row>
    <row r="75">
      <c r="A75" s="30" t="inlineStr">
        <is>
          <t>Frame</t>
        </is>
      </c>
      <c r="B75" s="30" t="inlineStr">
        <is>
          <t>HFSB5-2020-370-TPW</t>
        </is>
      </c>
      <c r="C75" s="30" t="inlineStr">
        <is>
          <t>A</t>
        </is>
      </c>
      <c r="D75" s="30" t="inlineStr">
        <is>
          <t>9</t>
        </is>
      </c>
      <c r="E75" s="30" t="inlineStr">
        <is>
          <t>250x250x250</t>
        </is>
      </c>
      <c r="F75" s="32">
        <f>HYPERLINK("https://us.misumi-ec.com/vona2/detail/110302683830?HissuCode=HFSB5-2020-370-TPW&amp;KWSearch=HFSB5-2020-370-TPW&amp;PNSearch=HFSB5-2020-370-TPW&amp;searchFlow=results2type","Misumi")</f>
        <v/>
      </c>
      <c r="G75" s="30" t="n"/>
      <c r="H75" s="30" t="n"/>
      <c r="I75" s="30" t="n"/>
      <c r="J75" s="30" t="n"/>
      <c r="K75" s="30" t="n"/>
      <c r="L75" s="30" t="n"/>
      <c r="M75" s="30" t="n"/>
      <c r="N75" s="30" t="n"/>
      <c r="O75" s="30" t="n"/>
      <c r="P75" s="30" t="n"/>
      <c r="Q75" s="30" t="n"/>
      <c r="R75" s="30" t="n"/>
      <c r="S75" s="30" t="n"/>
      <c r="T75" s="30" t="n"/>
      <c r="U75" s="30" t="n"/>
      <c r="V75" s="30" t="n"/>
      <c r="W75" s="34" t="inlineStr">
        <is>
          <t>Horizontal extrusions for outer frame and Gantry</t>
        </is>
      </c>
      <c r="X75" s="30" t="n"/>
    </row>
    <row r="76">
      <c r="A76" s="30" t="inlineStr">
        <is>
          <t>Frame</t>
        </is>
      </c>
      <c r="B76" s="30" t="inlineStr">
        <is>
          <t>HFSB5-2020-370-AH185-TPW</t>
        </is>
      </c>
      <c r="C76" s="30" t="inlineStr">
        <is>
          <t>C</t>
        </is>
      </c>
      <c r="D76" s="30" t="inlineStr">
        <is>
          <t>1</t>
        </is>
      </c>
      <c r="E76" s="30" t="inlineStr">
        <is>
          <t>250x250x250</t>
        </is>
      </c>
      <c r="F76" s="32">
        <f>HYPERLINK("https://us.misumi-ec.com/vona2/detail/110302683830?HissuCode=HFSB5-2020-370-AH185-TPW&amp;KWSearch=HFSB5-2020-370-AH185-TPW&amp;PNSearch=HFSB5-2020-370-AH185-TPW&amp;searchFlow=results2type","Misumi")</f>
        <v/>
      </c>
      <c r="G76" s="30" t="n"/>
      <c r="H76" s="30" t="n"/>
      <c r="I76" s="30" t="n"/>
      <c r="J76" s="30" t="n"/>
      <c r="K76" s="30" t="n"/>
      <c r="L76" s="30" t="n"/>
      <c r="M76" s="30" t="n"/>
      <c r="N76" s="30" t="n"/>
      <c r="O76" s="30" t="n"/>
      <c r="P76" s="30" t="n"/>
      <c r="Q76" s="30" t="n"/>
      <c r="R76" s="30" t="n"/>
      <c r="S76" s="30" t="n"/>
      <c r="T76" s="30" t="n"/>
      <c r="U76" s="30" t="n"/>
      <c r="V76" s="30" t="n"/>
      <c r="W76" s="34" t="inlineStr">
        <is>
          <t>Lower rear horizontal extrusion</t>
        </is>
      </c>
      <c r="X76" s="30" t="n"/>
    </row>
    <row r="77">
      <c r="A77" s="30" t="inlineStr">
        <is>
          <t>Frame</t>
        </is>
      </c>
      <c r="B77" s="30" t="inlineStr">
        <is>
          <t>HFSB5-2020-330-LTP</t>
        </is>
      </c>
      <c r="C77" s="30" t="inlineStr">
        <is>
          <t>H</t>
        </is>
      </c>
      <c r="D77" s="30" t="inlineStr">
        <is>
          <t>1</t>
        </is>
      </c>
      <c r="E77" s="30" t="inlineStr">
        <is>
          <t>250x250x250</t>
        </is>
      </c>
      <c r="F77" s="32">
        <f>HYPERLINK("https://us.misumi-ec.com/vona2/detail/110302683830?HissuCode=HFSB5-2020-330-LTP&amp;KWSearch=HFSB5-2020-330-LTP&amp;PNSearch=HFSB5-2020-330-LTP&amp;searchFlow=results2type","Misumi")</f>
        <v/>
      </c>
      <c r="G77" s="30" t="n"/>
      <c r="H77" s="30" t="n"/>
      <c r="I77" s="30" t="n"/>
      <c r="J77" s="30" t="n"/>
      <c r="K77" s="30" t="n"/>
      <c r="L77" s="30" t="n"/>
      <c r="M77" s="30" t="n"/>
      <c r="N77" s="30" t="n"/>
      <c r="O77" s="30" t="n"/>
      <c r="P77" s="30" t="n"/>
      <c r="Q77" s="30" t="n"/>
      <c r="R77" s="30" t="n"/>
      <c r="S77" s="30" t="n"/>
      <c r="T77" s="30" t="n"/>
      <c r="U77" s="30" t="n"/>
      <c r="V77" s="30" t="n"/>
      <c r="W77" s="34" t="inlineStr">
        <is>
          <t>Vertical rear center extrusion</t>
        </is>
      </c>
      <c r="X77" s="30" t="n"/>
    </row>
    <row r="78">
      <c r="A78" s="30" t="inlineStr">
        <is>
          <t>Frame</t>
        </is>
      </c>
      <c r="B78" s="30" t="inlineStr">
        <is>
          <t>HFSB5-2020-330-LTP</t>
        </is>
      </c>
      <c r="C78" s="30" t="inlineStr">
        <is>
          <t>H</t>
        </is>
      </c>
      <c r="D78" s="30" t="inlineStr">
        <is>
          <t>1</t>
        </is>
      </c>
      <c r="E78" s="30" t="inlineStr">
        <is>
          <t>300x300x250</t>
        </is>
      </c>
      <c r="F78" s="32">
        <f>HYPERLINK("https://us.misumi-ec.com/vona2/detail/110302683830?HissuCode=HFSB5-2020-330-LTP&amp;KWSearch=HFSB5-2020-330-LTP&amp;PNSearch=HFSB5-2020-330-LTP&amp;searchFlow=results2type","Misumi")</f>
        <v/>
      </c>
      <c r="G78" s="30" t="n"/>
      <c r="H78" s="30" t="n"/>
      <c r="I78" s="30" t="n"/>
      <c r="J78" s="30" t="n"/>
      <c r="K78" s="30" t="n"/>
      <c r="L78" s="30" t="n"/>
      <c r="M78" s="30" t="n"/>
      <c r="N78" s="30" t="n"/>
      <c r="O78" s="30" t="n"/>
      <c r="P78" s="30" t="n"/>
      <c r="Q78" s="30" t="n"/>
      <c r="R78" s="30" t="n"/>
      <c r="S78" s="30" t="n"/>
      <c r="T78" s="30" t="n"/>
      <c r="U78" s="30" t="n"/>
      <c r="V78" s="30" t="n"/>
      <c r="W78" s="34" t="inlineStr">
        <is>
          <t>Vertical rear center extrusion</t>
        </is>
      </c>
      <c r="X78" s="30" t="n"/>
    </row>
    <row r="79">
      <c r="A79" s="30" t="inlineStr">
        <is>
          <t>Frame</t>
        </is>
      </c>
      <c r="B79" s="30" t="inlineStr">
        <is>
          <t>HFSB5-2020-330-LTP</t>
        </is>
      </c>
      <c r="C79" s="30" t="inlineStr">
        <is>
          <t>H</t>
        </is>
      </c>
      <c r="D79" s="30" t="inlineStr">
        <is>
          <t>1</t>
        </is>
      </c>
      <c r="E79" s="30" t="inlineStr">
        <is>
          <t>350x350x250</t>
        </is>
      </c>
      <c r="F79" s="32">
        <f>HYPERLINK("https://us.misumi-ec.com/vona2/detail/110302683830?HissuCode=HFSB5-2020-330-LTP&amp;KWSearch=HFSB5-2020-330-LTP&amp;PNSearch=HFSB5-2020-330-LTP&amp;searchFlow=results2type","Misumi")</f>
        <v/>
      </c>
      <c r="G79" s="30" t="n"/>
      <c r="H79" s="30" t="n"/>
      <c r="I79" s="30" t="n"/>
      <c r="J79" s="30" t="n"/>
      <c r="K79" s="30" t="n"/>
      <c r="L79" s="30" t="n"/>
      <c r="M79" s="30" t="n"/>
      <c r="N79" s="30" t="n"/>
      <c r="O79" s="30" t="n"/>
      <c r="P79" s="30" t="n"/>
      <c r="Q79" s="30" t="n"/>
      <c r="R79" s="30" t="n"/>
      <c r="S79" s="30" t="n"/>
      <c r="T79" s="30" t="n"/>
      <c r="U79" s="30" t="n"/>
      <c r="V79" s="30" t="n"/>
      <c r="W79" s="34" t="inlineStr">
        <is>
          <t>Vertical rear center extrusion</t>
        </is>
      </c>
      <c r="X79" s="30" t="n"/>
    </row>
    <row r="80">
      <c r="A80" s="30" t="inlineStr">
        <is>
          <t>Frame</t>
        </is>
      </c>
      <c r="B80" s="30" t="inlineStr">
        <is>
          <t>HFSB5-2020-370-AH185</t>
        </is>
      </c>
      <c r="C80" s="30" t="inlineStr">
        <is>
          <t>F</t>
        </is>
      </c>
      <c r="D80" s="30" t="inlineStr">
        <is>
          <t>1</t>
        </is>
      </c>
      <c r="E80" s="30" t="inlineStr">
        <is>
          <t>250x250x250</t>
        </is>
      </c>
      <c r="F80" s="32">
        <f>HYPERLINK("https://us.misumi-ec.com/vona2/detail/110302683830?HissuCode=HFSB5-2020-370-AH185&amp;Keyword=HFSB5-2020-370-AH185&amp;PNSearch=HFSB5-2020-370-AH185&amp;searchFlow=suggest2products","Misumi")</f>
        <v/>
      </c>
      <c r="G80" s="30" t="n"/>
      <c r="H80" s="30" t="n"/>
      <c r="I80" s="30" t="n"/>
      <c r="J80" s="30" t="n"/>
      <c r="K80" s="30" t="n"/>
      <c r="L80" s="30" t="n"/>
      <c r="M80" s="30" t="n"/>
      <c r="N80" s="30" t="n"/>
      <c r="O80" s="30" t="n"/>
      <c r="P80" s="30" t="n"/>
      <c r="Q80" s="30" t="n"/>
      <c r="R80" s="30" t="n"/>
      <c r="S80" s="30" t="n"/>
      <c r="T80" s="30" t="n"/>
      <c r="U80" s="30" t="n"/>
      <c r="V80" s="30" t="n"/>
      <c r="W80" s="34" t="inlineStr">
        <is>
          <t>Front bed extrusion</t>
        </is>
      </c>
      <c r="X80" s="30" t="n"/>
    </row>
    <row r="81">
      <c r="A81" s="30" t="inlineStr">
        <is>
          <t>Frame</t>
        </is>
      </c>
      <c r="B81" s="30" t="inlineStr">
        <is>
          <t>HFSB5-2020-232-LTP</t>
        </is>
      </c>
      <c r="C81" s="30" t="inlineStr">
        <is>
          <t>G</t>
        </is>
      </c>
      <c r="D81" s="30" t="inlineStr">
        <is>
          <t>1</t>
        </is>
      </c>
      <c r="E81" s="30" t="inlineStr">
        <is>
          <t>250x250x250</t>
        </is>
      </c>
      <c r="F81" s="32">
        <f>HYPERLINK("https://us.misumi-ec.com/vona2/detail/110302683830?HissuCode=HFSB5-2020-232-LTP&amp;KWSearch=HFSB5-2020-232-LTP&amp;PNSearch=HFSB5-2020-232-LTP&amp;searchFlow=results2type","Misumi")</f>
        <v/>
      </c>
      <c r="G81" s="30" t="n"/>
      <c r="H81" s="30" t="n"/>
      <c r="I81" s="30" t="n"/>
      <c r="J81" s="30" t="n"/>
      <c r="K81" s="30" t="n"/>
      <c r="L81" s="30" t="n"/>
      <c r="M81" s="30" t="n"/>
      <c r="N81" s="30" t="n"/>
      <c r="O81" s="30" t="n"/>
      <c r="P81" s="30" t="n"/>
      <c r="Q81" s="30" t="n"/>
      <c r="R81" s="30" t="n"/>
      <c r="S81" s="30" t="n"/>
      <c r="T81" s="30" t="n"/>
      <c r="U81" s="30" t="n"/>
      <c r="V81" s="30" t="n"/>
      <c r="W81" s="34" t="inlineStr">
        <is>
          <t>Rear bed extrusion</t>
        </is>
      </c>
      <c r="X81" s="30" t="n"/>
    </row>
    <row r="82">
      <c r="A82" s="30" t="inlineStr">
        <is>
          <t>Frame</t>
        </is>
      </c>
      <c r="B82" s="30" t="inlineStr">
        <is>
          <t>HFSB5-2020-240</t>
        </is>
      </c>
      <c r="C82" s="30" t="inlineStr">
        <is>
          <t>D</t>
        </is>
      </c>
      <c r="D82" s="30" t="inlineStr">
        <is>
          <t>1</t>
        </is>
      </c>
      <c r="E82" s="30" t="inlineStr">
        <is>
          <t>250x250x250</t>
        </is>
      </c>
      <c r="F82" s="32">
        <f>HYPERLINK("https://us.misumi-ec.com/vona2/detail/110302683830?HissuCode=HFSB5-2020-240&amp;Keyword=HFSB5-2020-240&amp;PNSearch=HFSB5-2020-240&amp;searchFlow=suggest2products","Misumi")</f>
        <v/>
      </c>
      <c r="G82" s="30" t="n"/>
      <c r="H82" s="30" t="n"/>
      <c r="I82" s="30" t="n"/>
      <c r="J82" s="30" t="n"/>
      <c r="K82" s="30" t="n"/>
      <c r="L82" s="30" t="n"/>
      <c r="M82" s="30" t="n"/>
      <c r="N82" s="30" t="n"/>
      <c r="O82" s="30" t="n"/>
      <c r="P82" s="30" t="n"/>
      <c r="Q82" s="30" t="n"/>
      <c r="R82" s="30" t="n"/>
      <c r="S82" s="30" t="n"/>
      <c r="T82" s="30" t="n"/>
      <c r="U82" s="30" t="n"/>
      <c r="V82" s="30" t="n"/>
      <c r="W82" s="34" t="inlineStr">
        <is>
          <t>Rear Cross Bar for Gantry: X Spec Dimension - 10mm</t>
        </is>
      </c>
      <c r="X82" s="30" t="n"/>
    </row>
    <row r="83">
      <c r="A83" s="30" t="inlineStr">
        <is>
          <t>Frame</t>
        </is>
      </c>
      <c r="B83" s="30" t="inlineStr">
        <is>
          <t>HFSB5-2020-330</t>
        </is>
      </c>
      <c r="C83" s="30" t="inlineStr">
        <is>
          <t>E</t>
        </is>
      </c>
      <c r="D83" s="30" t="inlineStr">
        <is>
          <t>1</t>
        </is>
      </c>
      <c r="E83" s="30" t="inlineStr">
        <is>
          <t>250x250x250</t>
        </is>
      </c>
      <c r="F83" s="32">
        <f>HYPERLINK("https://us.misumi-ec.com/vona2/detail/110302683830?HissuCode=HFSB5-2020-330&amp;Keyword=HFSB5-2020-330&amp;PNSearch=HFSB5-2020-330&amp;searchFlow=suggest2products","Misumi")</f>
        <v/>
      </c>
      <c r="G83" s="30" t="n"/>
      <c r="H83" s="33">
        <f>HYPERLINK("https://us.misumi-ec.com/vona2/detail/110302683830?HissuCode=HFSB5-2020-330&amp;KWSearch=HFSB5-2020-330&amp;PNSearch=HFSB5-2020-330&amp;searchFlow=results2type","Misumi")</f>
        <v/>
      </c>
      <c r="I83" s="30" t="n"/>
      <c r="J83" s="30" t="n"/>
      <c r="K83" s="30" t="n"/>
      <c r="L83" s="30" t="n"/>
      <c r="M83" s="30" t="n"/>
      <c r="N83" s="30" t="n"/>
      <c r="O83" s="30" t="n"/>
      <c r="P83" s="30" t="n"/>
      <c r="Q83" s="30" t="n"/>
      <c r="R83" s="30" t="n"/>
      <c r="S83" s="30" t="n"/>
      <c r="T83" s="30" t="n"/>
      <c r="U83" s="30" t="n"/>
      <c r="V83" s="30" t="n"/>
      <c r="W83" s="34" t="inlineStr">
        <is>
          <t>X Axis Extrusion: X Spec Dimension + 80mm</t>
        </is>
      </c>
      <c r="X83" s="30" t="n"/>
    </row>
    <row r="84">
      <c r="A84" s="30" t="inlineStr">
        <is>
          <t>Frame</t>
        </is>
      </c>
      <c r="B84" s="30" t="inlineStr">
        <is>
          <t>HFSB5-2020-420-TPW</t>
        </is>
      </c>
      <c r="C84" s="30" t="inlineStr">
        <is>
          <t>A</t>
        </is>
      </c>
      <c r="D84" s="30" t="inlineStr">
        <is>
          <t>9</t>
        </is>
      </c>
      <c r="E84" s="30" t="inlineStr">
        <is>
          <t>300x300x250</t>
        </is>
      </c>
      <c r="F84" s="32">
        <f>HYPERLINK("https://us.misumi-ec.com/vona2/detail/110302683830?HissuCode=HFSB5-2020-420-TPW&amp;KWSearch=HFSB5-2020-420-TPW&amp;PNSearch=HFSB5-2020-420-TPW&amp;searchFlow=results2type","Misumi")</f>
        <v/>
      </c>
      <c r="G84" s="30" t="n"/>
      <c r="H84" s="30" t="n"/>
      <c r="I84" s="30" t="n"/>
      <c r="J84" s="30" t="n"/>
      <c r="K84" s="30" t="n"/>
      <c r="L84" s="30" t="n"/>
      <c r="M84" s="30" t="n"/>
      <c r="N84" s="30" t="n"/>
      <c r="O84" s="30" t="n"/>
      <c r="P84" s="30" t="n"/>
      <c r="Q84" s="30" t="n"/>
      <c r="R84" s="30" t="n"/>
      <c r="S84" s="30" t="n"/>
      <c r="T84" s="30" t="n"/>
      <c r="U84" s="30" t="n"/>
      <c r="V84" s="30" t="n"/>
      <c r="W84" s="34" t="inlineStr">
        <is>
          <t>Note: Currently (Summer 2021), Misumi has a long leadtime on Black extrusions. Remove the B from the part number for the silver variant</t>
        </is>
      </c>
      <c r="X84" s="30" t="n"/>
    </row>
    <row r="85">
      <c r="A85" s="30" t="inlineStr">
        <is>
          <t>Frame</t>
        </is>
      </c>
      <c r="B85" s="30" t="inlineStr">
        <is>
          <t>HFSB5-2020-420-AH210-TPW</t>
        </is>
      </c>
      <c r="C85" s="30" t="inlineStr">
        <is>
          <t>C</t>
        </is>
      </c>
      <c r="D85" s="30" t="inlineStr">
        <is>
          <t>1</t>
        </is>
      </c>
      <c r="E85" s="30" t="inlineStr">
        <is>
          <t>300x300x250</t>
        </is>
      </c>
      <c r="F85" s="32">
        <f>HYPERLINK("https://us.misumi-ec.com/vona2/detail/110302683830?HissuCode=HFSB5-2020-420-AH210-TPW&amp;KWSearch=HFSB5-2020-420-AH210-TPW&amp;PNSearch=HFSB5-2020-420-AH210-TPW&amp;searchFlow=results2type","Misumi")</f>
        <v/>
      </c>
      <c r="G85" s="30" t="n"/>
      <c r="H85" s="30" t="n"/>
      <c r="I85" s="30" t="n"/>
      <c r="J85" s="30" t="n"/>
      <c r="K85" s="30" t="n"/>
      <c r="L85" s="30" t="n"/>
      <c r="M85" s="30" t="n"/>
      <c r="N85" s="30" t="n"/>
      <c r="O85" s="30" t="n"/>
      <c r="P85" s="30" t="n"/>
      <c r="Q85" s="30" t="n"/>
      <c r="R85" s="30" t="n"/>
      <c r="S85" s="30" t="n"/>
      <c r="T85" s="30" t="n"/>
      <c r="U85" s="30" t="n"/>
      <c r="V85" s="30" t="n"/>
      <c r="W85" s="30" t="n"/>
      <c r="X85" s="30" t="n"/>
    </row>
    <row r="86">
      <c r="A86" s="30" t="inlineStr">
        <is>
          <t>Frame</t>
        </is>
      </c>
      <c r="B86" s="30" t="inlineStr">
        <is>
          <t>HFSB5-2020-420-AH210</t>
        </is>
      </c>
      <c r="C86" s="30" t="inlineStr">
        <is>
          <t>F</t>
        </is>
      </c>
      <c r="D86" s="30" t="inlineStr">
        <is>
          <t>1</t>
        </is>
      </c>
      <c r="E86" s="30" t="inlineStr">
        <is>
          <t>300x300x250</t>
        </is>
      </c>
      <c r="F86" s="32">
        <f>HYPERLINK("https://us.misumi-ec.com/vona2/detail/110302683830?HissuCode=HFSB5-2020-420-AH210&amp;Keyword=HFSB5-2020-420-AH210&amp;PNSearch=HFSB5-2020-420-AH210&amp;searchFlow=suggest2products","Misumi")</f>
        <v/>
      </c>
      <c r="G86" s="30" t="n"/>
      <c r="H86" s="30" t="n"/>
      <c r="I86" s="30" t="n"/>
      <c r="J86" s="30" t="n"/>
      <c r="K86" s="30" t="n"/>
      <c r="L86" s="30" t="n"/>
      <c r="M86" s="30" t="n"/>
      <c r="N86" s="30" t="n"/>
      <c r="O86" s="30" t="n"/>
      <c r="P86" s="30" t="n"/>
      <c r="Q86" s="30" t="n"/>
      <c r="R86" s="30" t="n"/>
      <c r="S86" s="30" t="n"/>
      <c r="T86" s="30" t="n"/>
      <c r="U86" s="30" t="n"/>
      <c r="V86" s="30" t="n"/>
      <c r="W86" s="30" t="n"/>
      <c r="X86" s="30" t="n"/>
    </row>
    <row r="87">
      <c r="A87" s="30" t="inlineStr">
        <is>
          <t>Frame</t>
        </is>
      </c>
      <c r="B87" s="30" t="inlineStr">
        <is>
          <t>HFSB5-2020-282-LTP</t>
        </is>
      </c>
      <c r="C87" s="30" t="inlineStr">
        <is>
          <t>G</t>
        </is>
      </c>
      <c r="D87" s="30" t="inlineStr">
        <is>
          <t>1</t>
        </is>
      </c>
      <c r="E87" s="30" t="inlineStr">
        <is>
          <t>300x300x250</t>
        </is>
      </c>
      <c r="F87" s="32">
        <f>HYPERLINK("https://us.misumi-ec.com/vona2/detail/110302683830?HissuCode=HFSB5-2020-282-LTP&amp;KWSearch=HFSB5-2020-282-LTP&amp;PNSearch=HFSB5-2020-282-LTP&amp;searchFlow=results2type","Misumi")</f>
        <v/>
      </c>
      <c r="G87" s="30" t="n"/>
      <c r="H87" s="30" t="n"/>
      <c r="I87" s="30" t="n"/>
      <c r="J87" s="30" t="n"/>
      <c r="K87" s="30" t="n"/>
      <c r="L87" s="30" t="n"/>
      <c r="M87" s="30" t="n"/>
      <c r="N87" s="30" t="n"/>
      <c r="O87" s="30" t="n"/>
      <c r="P87" s="30" t="n"/>
      <c r="Q87" s="30" t="n"/>
      <c r="R87" s="30" t="n"/>
      <c r="S87" s="30" t="n"/>
      <c r="T87" s="30" t="n"/>
      <c r="U87" s="30" t="n"/>
      <c r="V87" s="30" t="n"/>
      <c r="W87" s="30" t="n"/>
      <c r="X87" s="30" t="n"/>
    </row>
    <row r="88">
      <c r="A88" s="30" t="inlineStr">
        <is>
          <t>Frame</t>
        </is>
      </c>
      <c r="B88" s="30" t="inlineStr">
        <is>
          <t>HFSB5-2020-290</t>
        </is>
      </c>
      <c r="C88" s="30" t="inlineStr">
        <is>
          <t>D</t>
        </is>
      </c>
      <c r="D88" s="30" t="inlineStr">
        <is>
          <t>1</t>
        </is>
      </c>
      <c r="E88" s="30" t="inlineStr">
        <is>
          <t>300x300x250</t>
        </is>
      </c>
      <c r="F88" s="32">
        <f>HYPERLINK("https://us.misumi-ec.com/vona2/detail/110302683830?HissuCode=HFSB5-2020-290&amp;Keyword=HFSB5-2020-290&amp;PNSearch=HFSB5-2020-290&amp;searchFlow=suggest2products","Misumi")</f>
        <v/>
      </c>
      <c r="G88" s="30" t="n"/>
      <c r="H88" s="30" t="n"/>
      <c r="I88" s="30" t="n"/>
      <c r="J88" s="30" t="n"/>
      <c r="K88" s="30" t="n"/>
      <c r="L88" s="30" t="n"/>
      <c r="M88" s="30" t="n"/>
      <c r="N88" s="30" t="n"/>
      <c r="O88" s="30" t="n"/>
      <c r="P88" s="30" t="n"/>
      <c r="Q88" s="30" t="n"/>
      <c r="R88" s="30" t="n"/>
      <c r="S88" s="30" t="n"/>
      <c r="T88" s="30" t="n"/>
      <c r="U88" s="30" t="n"/>
      <c r="V88" s="30" t="n"/>
      <c r="W88" s="30" t="n"/>
      <c r="X88" s="30" t="n"/>
    </row>
    <row r="89">
      <c r="A89" s="30" t="inlineStr">
        <is>
          <t>Frame</t>
        </is>
      </c>
      <c r="B89" s="30" t="inlineStr">
        <is>
          <t>HFSB5-2020-380</t>
        </is>
      </c>
      <c r="C89" s="30" t="inlineStr">
        <is>
          <t>E</t>
        </is>
      </c>
      <c r="D89" s="30" t="inlineStr">
        <is>
          <t>1</t>
        </is>
      </c>
      <c r="E89" s="30" t="inlineStr">
        <is>
          <t>300x300x250</t>
        </is>
      </c>
      <c r="F89" s="32">
        <f>HYPERLINK("https://us.misumi-ec.com/vona2/detail/110302683830?HissuCode=HFSB5-2020-380&amp;Keyword=HFSB5-2020-380&amp;PNSearch=HFSB5-2020-380&amp;searchFlow=suggest2products","Misumi")</f>
        <v/>
      </c>
      <c r="G89" s="30" t="n"/>
      <c r="H89" s="30" t="n"/>
      <c r="I89" s="30" t="n"/>
      <c r="J89" s="30" t="n"/>
      <c r="K89" s="30" t="n"/>
      <c r="L89" s="30" t="n"/>
      <c r="M89" s="30" t="n"/>
      <c r="N89" s="30" t="n"/>
      <c r="O89" s="30" t="n"/>
      <c r="P89" s="30" t="n"/>
      <c r="Q89" s="30" t="n"/>
      <c r="R89" s="30" t="n"/>
      <c r="S89" s="30" t="n"/>
      <c r="T89" s="30" t="n"/>
      <c r="U89" s="30" t="n"/>
      <c r="V89" s="30" t="n"/>
      <c r="W89" s="30" t="n"/>
      <c r="X89" s="30" t="n"/>
    </row>
    <row r="90">
      <c r="A90" s="30" t="inlineStr">
        <is>
          <t>Frame</t>
        </is>
      </c>
      <c r="B90" s="30" t="inlineStr">
        <is>
          <t>HFSB5-2020-470-TPW</t>
        </is>
      </c>
      <c r="C90" s="30" t="inlineStr">
        <is>
          <t>A</t>
        </is>
      </c>
      <c r="D90" s="30" t="inlineStr">
        <is>
          <t>9</t>
        </is>
      </c>
      <c r="E90" s="30" t="inlineStr">
        <is>
          <t>350x350x250</t>
        </is>
      </c>
      <c r="F90" s="32">
        <f>HYPERLINK("https://us.misumi-ec.com/vona2/detail/110302683830?HissuCode=HFSB5-2020-470-TPW&amp;KWSearch=HFSB5-2020-470-TPW&amp;PNSearch=HFSB5-2020-470-TPW&amp;searchFlow=results2type","Misumi")</f>
        <v/>
      </c>
      <c r="G90" s="30" t="n"/>
      <c r="H90" s="30" t="n"/>
      <c r="I90" s="30" t="n"/>
      <c r="J90" s="30" t="n"/>
      <c r="K90" s="30" t="n"/>
      <c r="L90" s="30" t="n"/>
      <c r="M90" s="30" t="n"/>
      <c r="N90" s="30" t="n"/>
      <c r="O90" s="30" t="n"/>
      <c r="P90" s="30" t="n"/>
      <c r="Q90" s="30" t="n"/>
      <c r="R90" s="30" t="n"/>
      <c r="S90" s="30" t="n"/>
      <c r="T90" s="30" t="n"/>
      <c r="U90" s="30" t="n"/>
      <c r="V90" s="30" t="n"/>
      <c r="W90" s="30" t="n"/>
      <c r="X90" s="30" t="n"/>
    </row>
    <row r="91">
      <c r="A91" s="30" t="inlineStr">
        <is>
          <t>Frame</t>
        </is>
      </c>
      <c r="B91" s="30" t="inlineStr">
        <is>
          <t>HFSB5-2020-470-AH235-TPW</t>
        </is>
      </c>
      <c r="C91" s="30" t="inlineStr">
        <is>
          <t>C</t>
        </is>
      </c>
      <c r="D91" s="30" t="inlineStr">
        <is>
          <t>1</t>
        </is>
      </c>
      <c r="E91" s="30" t="inlineStr">
        <is>
          <t>350x350x250</t>
        </is>
      </c>
      <c r="F91" s="32">
        <f>HYPERLINK("https://us.misumi-ec.com/vona2/detail/110302683830?HissuCode=HFSB5-2020-470-AH235-TPW&amp;KWSearch=HFSB5-2020-470-AH235-TPW&amp;PNSearch=HFSB5-2020-470-AH235-TPW&amp;searchFlow=results2type","Misumi")</f>
        <v/>
      </c>
      <c r="G91" s="30" t="n"/>
      <c r="H91" s="30" t="n"/>
      <c r="I91" s="30" t="n"/>
      <c r="J91" s="30" t="n"/>
      <c r="K91" s="30" t="n"/>
      <c r="L91" s="30" t="n"/>
      <c r="M91" s="30" t="n"/>
      <c r="N91" s="30" t="n"/>
      <c r="O91" s="30" t="n"/>
      <c r="P91" s="30" t="n"/>
      <c r="Q91" s="30" t="n"/>
      <c r="R91" s="30" t="n"/>
      <c r="S91" s="30" t="n"/>
      <c r="T91" s="30" t="n"/>
      <c r="U91" s="30" t="n"/>
      <c r="V91" s="30" t="n"/>
      <c r="W91" s="30" t="n"/>
      <c r="X91" s="30" t="n"/>
    </row>
    <row r="92">
      <c r="A92" s="30" t="inlineStr">
        <is>
          <t>Frame</t>
        </is>
      </c>
      <c r="B92" s="30" t="inlineStr">
        <is>
          <t>HFSB5-2020-470-AH235</t>
        </is>
      </c>
      <c r="C92" s="30" t="inlineStr">
        <is>
          <t>F</t>
        </is>
      </c>
      <c r="D92" s="30" t="inlineStr">
        <is>
          <t>1</t>
        </is>
      </c>
      <c r="E92" s="30" t="inlineStr">
        <is>
          <t>350x350x250</t>
        </is>
      </c>
      <c r="F92" s="32">
        <f>HYPERLINK("https://us.misumi-ec.com/vona2/detail/110302683830?HissuCode=HFSB5-2020-470-AH235&amp;Keyword=HFSB5-2020-470-AH235&amp;PNSearch=HFSB5-2020-470-AH235&amp;searchFlow=suggest2products","Misumi")</f>
        <v/>
      </c>
      <c r="G92" s="30" t="n"/>
      <c r="H92" s="30" t="n"/>
      <c r="I92" s="30" t="n"/>
      <c r="J92" s="30" t="n"/>
      <c r="K92" s="30" t="n"/>
      <c r="L92" s="30" t="n"/>
      <c r="M92" s="30" t="n"/>
      <c r="N92" s="30" t="n"/>
      <c r="O92" s="30" t="n"/>
      <c r="P92" s="30" t="n"/>
      <c r="Q92" s="30" t="n"/>
      <c r="R92" s="30" t="n"/>
      <c r="S92" s="30" t="n"/>
      <c r="T92" s="30" t="n"/>
      <c r="U92" s="30" t="n"/>
      <c r="V92" s="30" t="n"/>
      <c r="W92" s="30" t="n"/>
      <c r="X92" s="30" t="n"/>
    </row>
    <row r="93">
      <c r="A93" s="30" t="inlineStr">
        <is>
          <t>Frame</t>
        </is>
      </c>
      <c r="B93" s="30" t="inlineStr">
        <is>
          <t>HFSB5-2020-332-LTP</t>
        </is>
      </c>
      <c r="C93" s="30" t="inlineStr">
        <is>
          <t>G</t>
        </is>
      </c>
      <c r="D93" s="30" t="inlineStr">
        <is>
          <t>1</t>
        </is>
      </c>
      <c r="E93" s="30" t="inlineStr">
        <is>
          <t>350x350x250</t>
        </is>
      </c>
      <c r="F93" s="32">
        <f>HYPERLINK("https://us.misumi-ec.com/vona2/detail/110302683830?HissuCode=HFSB5-2020-332-LTP&amp;KWSearch=HFSB5-2020-332-LTP&amp;PNSearch=HFSB5-2020-332-LTP&amp;searchFlow=results2type","Misumi")</f>
        <v/>
      </c>
      <c r="G93" s="30" t="n"/>
      <c r="H93" s="30" t="n"/>
      <c r="I93" s="30" t="n"/>
      <c r="J93" s="30" t="n"/>
      <c r="K93" s="30" t="n"/>
      <c r="L93" s="30" t="n"/>
      <c r="M93" s="30" t="n"/>
      <c r="N93" s="30" t="n"/>
      <c r="O93" s="30" t="n"/>
      <c r="P93" s="30" t="n"/>
      <c r="Q93" s="30" t="n"/>
      <c r="R93" s="30" t="n"/>
      <c r="S93" s="30" t="n"/>
      <c r="T93" s="30" t="n"/>
      <c r="U93" s="30" t="n"/>
      <c r="V93" s="30" t="n"/>
      <c r="W93" s="30" t="n"/>
      <c r="X93" s="30" t="n"/>
    </row>
    <row r="94">
      <c r="A94" s="30" t="inlineStr">
        <is>
          <t>Frame</t>
        </is>
      </c>
      <c r="B94" s="30" t="inlineStr">
        <is>
          <t>HFSB5-2020-340</t>
        </is>
      </c>
      <c r="C94" s="30" t="inlineStr">
        <is>
          <t>D</t>
        </is>
      </c>
      <c r="D94" s="30" t="inlineStr">
        <is>
          <t>1</t>
        </is>
      </c>
      <c r="E94" s="30" t="inlineStr">
        <is>
          <t>350x350x250</t>
        </is>
      </c>
      <c r="F94" s="32">
        <f>HYPERLINK("https://us.misumi-ec.com/vona2/detail/110302683830?HissuCode=HFSB5-2020-340&amp;Keyword=HFSB5-2020-340&amp;PNSearch=HFSB5-2020-340&amp;searchFlow=suggest2products","Misumi")</f>
        <v/>
      </c>
      <c r="G94" s="30" t="n"/>
      <c r="H94" s="30" t="n"/>
      <c r="I94" s="30" t="n"/>
      <c r="J94" s="30" t="n"/>
      <c r="K94" s="30" t="n"/>
      <c r="L94" s="30" t="n"/>
      <c r="M94" s="30" t="n"/>
      <c r="N94" s="30" t="n"/>
      <c r="O94" s="30" t="n"/>
      <c r="P94" s="30" t="n"/>
      <c r="Q94" s="30" t="n"/>
      <c r="R94" s="30" t="n"/>
      <c r="S94" s="30" t="n"/>
      <c r="T94" s="30" t="n"/>
      <c r="U94" s="30" t="n"/>
      <c r="V94" s="30" t="n"/>
      <c r="W94" s="30" t="n"/>
      <c r="X94" s="30" t="n"/>
    </row>
    <row r="95">
      <c r="A95" s="30" t="inlineStr">
        <is>
          <t>Frame</t>
        </is>
      </c>
      <c r="B95" s="30" t="inlineStr">
        <is>
          <t>HFSB5-2020-430</t>
        </is>
      </c>
      <c r="C95" s="30" t="inlineStr">
        <is>
          <t>E</t>
        </is>
      </c>
      <c r="D95" s="30" t="inlineStr">
        <is>
          <t>1</t>
        </is>
      </c>
      <c r="E95" s="30" t="inlineStr">
        <is>
          <t>350x350x250</t>
        </is>
      </c>
      <c r="F95" s="32">
        <f>HYPERLINK("https://us.misumi-ec.com/vona2/detail/110302683830?HissuCode=HFSB5-2020-430&amp;Keyword=HFSB5-2020-430&amp;PNSearch=HFSB5-2020-430&amp;searchFlow=suggest2products","Misumi")</f>
        <v/>
      </c>
      <c r="G95" s="30" t="n"/>
      <c r="H95" s="30" t="n"/>
      <c r="I95" s="30" t="n"/>
      <c r="J95" s="30" t="n"/>
      <c r="K95" s="30" t="n"/>
      <c r="L95" s="30" t="n"/>
      <c r="M95" s="30" t="n"/>
      <c r="N95" s="30" t="n"/>
      <c r="O95" s="30" t="n"/>
      <c r="P95" s="30" t="n"/>
      <c r="Q95" s="30" t="n"/>
      <c r="R95" s="30" t="n"/>
      <c r="S95" s="30" t="n"/>
      <c r="T95" s="30" t="n"/>
      <c r="U95" s="30" t="n"/>
      <c r="V95" s="30" t="n"/>
      <c r="W95" s="30" t="n"/>
      <c r="X95" s="30" t="n"/>
    </row>
    <row r="96">
      <c r="A96" s="35" t="inlineStr">
        <is>
          <t>Misc</t>
        </is>
      </c>
      <c r="B96" s="35" t="inlineStr">
        <is>
          <t>Bowden Tube</t>
        </is>
      </c>
      <c r="C96" s="35" t="n"/>
      <c r="D96" s="35" t="n"/>
      <c r="E96" s="35" t="n"/>
      <c r="F96" s="36">
        <f>HYPERLINK("https://www.aliexpress.com/item/1005001408141263.html","Aliexpress")</f>
        <v/>
      </c>
      <c r="G96" s="39">
        <f>HYPERLINK("https://s.click.aliexpress.com/e/_AZwI9m","[Affiliate Link]")</f>
        <v/>
      </c>
      <c r="H96" s="35" t="n"/>
      <c r="I96" s="35" t="n"/>
      <c r="J96" s="35" t="n"/>
      <c r="K96" s="35" t="n"/>
      <c r="L96" s="35" t="n"/>
      <c r="M96" s="35" t="n"/>
      <c r="N96" s="35" t="n"/>
      <c r="O96" s="35" t="n"/>
      <c r="P96" s="35" t="n"/>
      <c r="Q96" s="35" t="n"/>
      <c r="R96" s="35" t="n"/>
      <c r="S96" s="35" t="n"/>
      <c r="T96" s="35" t="n"/>
      <c r="U96" s="35" t="n"/>
      <c r="V96" s="35" t="n"/>
      <c r="W96" s="37" t="inlineStr">
        <is>
          <t>Trident uses a "reverse bowden"--so it's not under load and not critical, and is no longer a wear item. Purchase whatever suits your fancy</t>
        </is>
      </c>
      <c r="X96" s="38" t="inlineStr">
        <is>
          <t>some links were dead</t>
        </is>
      </c>
    </row>
    <row r="97">
      <c r="A97" s="35" t="inlineStr">
        <is>
          <t>Misc</t>
        </is>
      </c>
      <c r="B97" s="35" t="inlineStr">
        <is>
          <t>6mm x 3mm Round Neodymium Magnets</t>
        </is>
      </c>
      <c r="C97" s="35" t="n"/>
      <c r="D97" s="35" t="inlineStr">
        <is>
          <t>8</t>
        </is>
      </c>
      <c r="E97" s="35" t="inlineStr">
        <is>
          <t>All</t>
        </is>
      </c>
      <c r="F97" s="35" t="n"/>
      <c r="G97" s="35" t="n"/>
      <c r="H97" s="35" t="n"/>
      <c r="I97" s="35" t="n"/>
      <c r="J97" s="35" t="n"/>
      <c r="K97" s="35" t="n"/>
      <c r="L97" s="35" t="n"/>
      <c r="M97" s="35" t="n"/>
      <c r="N97" s="35" t="n"/>
      <c r="O97" s="35" t="n"/>
      <c r="P97" s="35" t="n"/>
      <c r="Q97" s="35" t="n"/>
      <c r="R97" s="35" t="n"/>
      <c r="S97" s="35" t="n"/>
      <c r="T97" s="35" t="n"/>
      <c r="U97" s="35" t="n"/>
      <c r="V97" s="35" t="n"/>
      <c r="W97" s="37" t="inlineStr">
        <is>
          <t>Magnets for the front door</t>
        </is>
      </c>
      <c r="X97" s="38" t="inlineStr">
        <is>
          <t>all links were dead</t>
        </is>
      </c>
    </row>
    <row r="98">
      <c r="A98" s="35" t="inlineStr">
        <is>
          <t>Misc</t>
        </is>
      </c>
      <c r="B98" s="35" t="inlineStr">
        <is>
          <t>DIN Rail - Electronics Enclosure - Steel - 35mm wide, 7.5mm tall, Steel</t>
        </is>
      </c>
      <c r="C98" s="35" t="n"/>
      <c r="D98" s="35" t="inlineStr">
        <is>
          <t>2</t>
        </is>
      </c>
      <c r="E98" s="35" t="inlineStr">
        <is>
          <t>250 build - 369mm</t>
        </is>
      </c>
      <c r="F98" s="36">
        <f>HYPERLINK("https://www.aliexpress.com/item/4001002262174.html","Aliexpress")</f>
        <v/>
      </c>
      <c r="G98" s="39">
        <f>HYPERLINK("https://s.click.aliexpress.com/e/_AAsUJw","[Affiliate Link]")</f>
        <v/>
      </c>
      <c r="H98" s="35" t="n"/>
      <c r="I98" s="35" t="n"/>
      <c r="J98" s="35" t="n"/>
      <c r="K98" s="35" t="n"/>
      <c r="L98" s="35" t="n"/>
      <c r="M98" s="35" t="n"/>
      <c r="N98" s="35" t="n"/>
      <c r="O98" s="35" t="n"/>
      <c r="P98" s="35" t="n"/>
      <c r="Q98" s="35" t="n"/>
      <c r="R98" s="35" t="n"/>
      <c r="S98" s="35" t="n"/>
      <c r="T98" s="35" t="n"/>
      <c r="U98" s="35" t="n"/>
      <c r="V98" s="35" t="n"/>
      <c r="W98" s="35" t="n"/>
      <c r="X98" s="35" t="n"/>
    </row>
    <row r="99">
      <c r="A99" s="35" t="inlineStr">
        <is>
          <t>Misc</t>
        </is>
      </c>
      <c r="B99" s="35" t="inlineStr">
        <is>
          <t>DIN Rail - Electronics Enclosure - Steel - 35mm wide, 7.5mm tall, Steel</t>
        </is>
      </c>
      <c r="C99" s="35" t="n"/>
      <c r="D99" s="35" t="inlineStr">
        <is>
          <t>2</t>
        </is>
      </c>
      <c r="E99" s="35" t="inlineStr">
        <is>
          <t>300 build - 419mm</t>
        </is>
      </c>
      <c r="F99" s="36">
        <f>HYPERLINK("https://www.aliexpress.com/item/4001002262174.html","Aliexpress")</f>
        <v/>
      </c>
      <c r="G99" s="39">
        <f>HYPERLINK("https://s.click.aliexpress.com/e/_AAsUJw","[Affiliate Link]")</f>
        <v/>
      </c>
      <c r="H99" s="35" t="n"/>
      <c r="I99" s="35" t="n"/>
      <c r="J99" s="35" t="n"/>
      <c r="K99" s="35" t="n"/>
      <c r="L99" s="35" t="n"/>
      <c r="M99" s="35" t="n"/>
      <c r="N99" s="35" t="n"/>
      <c r="O99" s="35" t="n"/>
      <c r="P99" s="35" t="n"/>
      <c r="Q99" s="35" t="n"/>
      <c r="R99" s="35" t="n"/>
      <c r="S99" s="35" t="n"/>
      <c r="T99" s="35" t="n"/>
      <c r="U99" s="35" t="n"/>
      <c r="V99" s="35" t="n"/>
      <c r="W99" s="35" t="n"/>
      <c r="X99" s="35" t="n"/>
    </row>
    <row r="100">
      <c r="A100" s="35" t="inlineStr">
        <is>
          <t>Misc</t>
        </is>
      </c>
      <c r="B100" s="35" t="inlineStr">
        <is>
          <t>DIN Rail - Electronics Enclosure - Steel - 35mm wide, 7.5mm tall, Steel</t>
        </is>
      </c>
      <c r="C100" s="35" t="n"/>
      <c r="D100" s="35" t="inlineStr">
        <is>
          <t>2</t>
        </is>
      </c>
      <c r="E100" s="35" t="inlineStr">
        <is>
          <t>350 build - 469mm</t>
        </is>
      </c>
      <c r="F100" s="36">
        <f>HYPERLINK("https://www.aliexpress.com/item/4001002262174.html","Aliexpress")</f>
        <v/>
      </c>
      <c r="G100" s="39">
        <f>HYPERLINK("https://s.click.aliexpress.com/e/_AAsUJw","[Affiliate Link]")</f>
        <v/>
      </c>
      <c r="H100" s="35" t="n"/>
      <c r="I100" s="35" t="n"/>
      <c r="J100" s="35" t="n"/>
      <c r="K100" s="35" t="n"/>
      <c r="L100" s="35" t="n"/>
      <c r="M100" s="35" t="n"/>
      <c r="N100" s="35" t="n"/>
      <c r="O100" s="35" t="n"/>
      <c r="P100" s="35" t="n"/>
      <c r="Q100" s="35" t="n"/>
      <c r="R100" s="35" t="n"/>
      <c r="S100" s="35" t="n"/>
      <c r="T100" s="35" t="n"/>
      <c r="U100" s="35" t="n"/>
      <c r="V100" s="35" t="n"/>
      <c r="W100" s="35" t="n"/>
      <c r="X100" s="35" t="n"/>
    </row>
    <row r="101">
      <c r="A101" s="35" t="inlineStr">
        <is>
          <t>Misc</t>
        </is>
      </c>
      <c r="B101" s="35" t="inlineStr">
        <is>
          <t>Foam Panel Tape (5mm wide/3mm thick)</t>
        </is>
      </c>
      <c r="C101" s="35" t="n"/>
      <c r="D101" s="35" t="inlineStr">
        <is>
          <t>7m</t>
        </is>
      </c>
      <c r="E101" s="35" t="inlineStr">
        <is>
          <t>All</t>
        </is>
      </c>
      <c r="F101" s="36">
        <f>HYPERLINK("https://www.aliexpress.com/item/32885016096.html","Aliexpress")</f>
        <v/>
      </c>
      <c r="G101" s="39">
        <f>HYPERLINK("https://s.click.aliexpress.com/e/KQxWUrx6","[Affiliate Link]")</f>
        <v/>
      </c>
      <c r="H101" s="35" t="n"/>
      <c r="I101" s="35" t="n"/>
      <c r="J101" s="35" t="n"/>
      <c r="K101" s="35" t="n"/>
      <c r="L101" s="35" t="n"/>
      <c r="M101" s="35" t="n"/>
      <c r="N101" s="35" t="n"/>
      <c r="O101" s="35" t="n"/>
      <c r="P101" s="35" t="n"/>
      <c r="Q101" s="35" t="n"/>
      <c r="R101" s="35" t="n"/>
      <c r="S101" s="35" t="n"/>
      <c r="T101" s="35" t="n"/>
      <c r="U101" s="35" t="n"/>
      <c r="V101" s="35" t="n"/>
      <c r="W101" s="35" t="n"/>
      <c r="X101" s="35" t="n"/>
    </row>
    <row r="102">
      <c r="A102" s="40" t="inlineStr">
        <is>
          <t>Cables</t>
        </is>
      </c>
      <c r="B102" s="40" t="inlineStr">
        <is>
          <t>10x11mm - 1 meter with 3 end sets (3 fixed end, 3 free end), R18 (18mm radius)</t>
        </is>
      </c>
      <c r="C102" s="40" t="n"/>
      <c r="D102" s="40" t="inlineStr">
        <is>
          <t>1</t>
        </is>
      </c>
      <c r="E102" s="40" t="inlineStr">
        <is>
          <t>All</t>
        </is>
      </c>
      <c r="F102" s="41">
        <f>HYPERLINK("https://www.amazon.com/dp/B07QLGWQ1L","Amazon")</f>
        <v/>
      </c>
      <c r="G102" s="40" t="n"/>
      <c r="H102" s="40" t="n"/>
      <c r="I102" s="40" t="n"/>
      <c r="J102" s="40" t="n"/>
      <c r="K102" s="40" t="n"/>
      <c r="L102" s="40" t="n"/>
      <c r="M102" s="40" t="n"/>
      <c r="N102" s="40" t="n"/>
      <c r="O102" s="40" t="n"/>
      <c r="P102" s="40" t="n"/>
      <c r="Q102" s="40" t="n"/>
      <c r="R102" s="40" t="n"/>
      <c r="S102" s="40" t="n"/>
      <c r="T102" s="40" t="n"/>
      <c r="U102" s="40" t="n"/>
      <c r="V102" s="40" t="n"/>
      <c r="W102" s="42" t="inlineStr">
        <is>
          <t>Requires a total of 3 end sets, X,Y,Z all need a piece of chain with end links, total length of all the chain is 1 meter</t>
        </is>
      </c>
      <c r="X102" s="44" t="inlineStr">
        <is>
          <t>some links were dead</t>
        </is>
      </c>
    </row>
    <row r="103">
      <c r="A103" s="40" t="inlineStr">
        <is>
          <t>Cables</t>
        </is>
      </c>
      <c r="B103" s="40" t="inlineStr">
        <is>
          <t>Fork Spade Terminal</t>
        </is>
      </c>
      <c r="C103" s="40" t="n"/>
      <c r="D103" s="40" t="n"/>
      <c r="E103" s="40" t="n"/>
      <c r="F103" s="41">
        <f>HYPERLINK("https://www.digikey.com/products/en","Digikey")</f>
        <v/>
      </c>
      <c r="G103" s="40" t="n"/>
      <c r="H103" s="40" t="n"/>
      <c r="I103" s="40" t="n"/>
      <c r="J103" s="40" t="n"/>
      <c r="K103" s="40" t="n"/>
      <c r="L103" s="40" t="n"/>
      <c r="M103" s="40" t="n"/>
      <c r="N103" s="40" t="n"/>
      <c r="O103" s="40" t="n"/>
      <c r="P103" s="40" t="n"/>
      <c r="Q103" s="40" t="n"/>
      <c r="R103" s="40" t="n"/>
      <c r="S103" s="40" t="n"/>
      <c r="T103" s="40" t="n"/>
      <c r="U103" s="40" t="n"/>
      <c r="V103" s="40" t="n"/>
      <c r="W103" s="42" t="inlineStr">
        <is>
          <t>for power supply and SSR</t>
        </is>
      </c>
      <c r="X103" s="40" t="n"/>
    </row>
    <row r="104">
      <c r="A104" s="40" t="inlineStr">
        <is>
          <t>Cables</t>
        </is>
      </c>
      <c r="B104" s="40" t="inlineStr">
        <is>
          <t>Insulated Crimp Receptical</t>
        </is>
      </c>
      <c r="C104" s="40" t="n"/>
      <c r="D104" s="40" t="n"/>
      <c r="E104" s="40" t="n"/>
      <c r="F104" s="41">
        <f>HYPERLINK("https://www.digikey.com/products/en","Digikey")</f>
        <v/>
      </c>
      <c r="G104" s="40" t="n"/>
      <c r="H104" s="43">
        <f>HYPERLINK("https://www.digikey.com/product-detail/en/te-connectivity-amp-connectors/2-520181-2/A27804TR-ND/289246","Digikey")</f>
        <v/>
      </c>
      <c r="I104" s="40" t="n"/>
      <c r="J104" s="40" t="n"/>
      <c r="K104" s="40" t="n"/>
      <c r="L104" s="40" t="n"/>
      <c r="M104" s="40" t="n"/>
      <c r="N104" s="40" t="n"/>
      <c r="O104" s="40" t="n"/>
      <c r="P104" s="40" t="n"/>
      <c r="Q104" s="40" t="n"/>
      <c r="R104" s="40" t="n"/>
      <c r="S104" s="40" t="n"/>
      <c r="T104" s="40" t="n"/>
      <c r="U104" s="40" t="n"/>
      <c r="V104" s="40" t="n"/>
      <c r="W104" s="42" t="inlineStr">
        <is>
          <t>for Power Inlet (6.35mm)</t>
        </is>
      </c>
      <c r="X104" s="40" t="n"/>
    </row>
    <row r="105">
      <c r="A105" s="40" t="inlineStr">
        <is>
          <t>Cables</t>
        </is>
      </c>
      <c r="B105" s="40" t="inlineStr">
        <is>
          <t>Nylon Cable Ties 4"</t>
        </is>
      </c>
      <c r="C105" s="40" t="n"/>
      <c r="D105" s="40" t="n"/>
      <c r="E105" s="40" t="n"/>
      <c r="F105" s="41">
        <f>HYPERLINK("https://amzn.to/2mzoRjl","Amazon")</f>
        <v/>
      </c>
      <c r="G105" s="40" t="n"/>
      <c r="H105" s="40" t="n"/>
      <c r="I105" s="40" t="n"/>
      <c r="J105" s="40" t="n"/>
      <c r="K105" s="40" t="n"/>
      <c r="L105" s="40" t="n"/>
      <c r="M105" s="40" t="n"/>
      <c r="N105" s="40" t="n"/>
      <c r="O105" s="40" t="n"/>
      <c r="P105" s="40" t="n"/>
      <c r="Q105" s="40" t="n"/>
      <c r="R105" s="40" t="n"/>
      <c r="S105" s="40" t="n"/>
      <c r="T105" s="40" t="n"/>
      <c r="U105" s="40" t="n"/>
      <c r="V105" s="40" t="n"/>
      <c r="W105" s="40" t="n"/>
      <c r="X105" s="44" t="inlineStr">
        <is>
          <t>all links were dead</t>
        </is>
      </c>
    </row>
    <row r="106">
      <c r="A106" s="40" t="inlineStr">
        <is>
          <t>Cables</t>
        </is>
      </c>
      <c r="B106" s="40" t="inlineStr">
        <is>
          <t>MicroFit3 Male Pin (43031-0007)</t>
        </is>
      </c>
      <c r="C106" s="40" t="n"/>
      <c r="D106" s="40" t="n"/>
      <c r="E106" s="40" t="n"/>
      <c r="F106" s="41">
        <f>HYPERLINK("https://www.digikey.com/products/en","Digikey")</f>
        <v/>
      </c>
      <c r="G106" s="40" t="n"/>
      <c r="H106" s="40" t="n"/>
      <c r="I106" s="40" t="n"/>
      <c r="J106" s="40" t="n"/>
      <c r="K106" s="40" t="n"/>
      <c r="L106" s="40" t="n"/>
      <c r="M106" s="40" t="n"/>
      <c r="N106" s="40" t="n"/>
      <c r="O106" s="40" t="n"/>
      <c r="P106" s="40" t="n"/>
      <c r="Q106" s="40" t="n"/>
      <c r="R106" s="40" t="n"/>
      <c r="S106" s="40" t="n"/>
      <c r="T106" s="40" t="n"/>
      <c r="U106" s="40" t="n"/>
      <c r="V106" s="40" t="n"/>
      <c r="W106" s="42" t="inlineStr">
        <is>
          <t>This is a good starter kit that has plenty of pins and all of the required connectors. The kit comes with individual part numbers to source individual pieces later if required.</t>
        </is>
      </c>
      <c r="X106" s="40" t="n"/>
    </row>
    <row r="107">
      <c r="A107" s="40" t="inlineStr">
        <is>
          <t>Cables</t>
        </is>
      </c>
      <c r="B107" s="40" t="inlineStr">
        <is>
          <t>MicroFit3 Female Pin (43030-0007)</t>
        </is>
      </c>
      <c r="C107" s="40" t="n"/>
      <c r="D107" s="40" t="n"/>
      <c r="E107" s="40" t="n"/>
      <c r="F107" s="41">
        <f>HYPERLINK("https://www.digikey.com/products/en","Digikey")</f>
        <v/>
      </c>
      <c r="G107" s="40" t="n"/>
      <c r="H107" s="40" t="n"/>
      <c r="I107" s="40" t="n"/>
      <c r="J107" s="40" t="n"/>
      <c r="K107" s="40" t="n"/>
      <c r="L107" s="40" t="n"/>
      <c r="M107" s="40" t="n"/>
      <c r="N107" s="40" t="n"/>
      <c r="O107" s="40" t="n"/>
      <c r="P107" s="40" t="n"/>
      <c r="Q107" s="40" t="n"/>
      <c r="R107" s="40" t="n"/>
      <c r="S107" s="40" t="n"/>
      <c r="T107" s="40" t="n"/>
      <c r="U107" s="40" t="n"/>
      <c r="V107" s="40" t="n"/>
      <c r="W107" s="40" t="n"/>
      <c r="X107" s="40" t="n"/>
    </row>
    <row r="108">
      <c r="A108" s="40" t="inlineStr">
        <is>
          <t>Cables</t>
        </is>
      </c>
      <c r="B108" s="40" t="inlineStr">
        <is>
          <t>MicroFit Connector Receptacle 4 Position (43645-0400)</t>
        </is>
      </c>
      <c r="C108" s="40" t="n"/>
      <c r="D108" s="40" t="n"/>
      <c r="E108" s="40" t="n"/>
      <c r="F108" s="41">
        <f>HYPERLINK("https://www.digikey.com/products/en","Digikey")</f>
        <v/>
      </c>
      <c r="G108" s="40" t="n"/>
      <c r="H108" s="40" t="n"/>
      <c r="I108" s="40" t="n"/>
      <c r="J108" s="40" t="n"/>
      <c r="K108" s="40" t="n"/>
      <c r="L108" s="40" t="n"/>
      <c r="M108" s="40" t="n"/>
      <c r="N108" s="40" t="n"/>
      <c r="O108" s="40" t="n"/>
      <c r="P108" s="40" t="n"/>
      <c r="Q108" s="40" t="n"/>
      <c r="R108" s="40" t="n"/>
      <c r="S108" s="40" t="n"/>
      <c r="T108" s="40" t="n"/>
      <c r="U108" s="40" t="n"/>
      <c r="V108" s="40" t="n"/>
      <c r="W108" s="40" t="n"/>
      <c r="X108" s="40" t="n"/>
    </row>
    <row r="109">
      <c r="A109" s="40" t="inlineStr">
        <is>
          <t>Cables</t>
        </is>
      </c>
      <c r="B109" s="40" t="inlineStr">
        <is>
          <t>MicroFit Connector Receptacle 3 Position (43645-0300)</t>
        </is>
      </c>
      <c r="C109" s="40" t="n"/>
      <c r="D109" s="40" t="n"/>
      <c r="E109" s="40" t="n"/>
      <c r="F109" s="41">
        <f>HYPERLINK("https://www.digikey.com/products/en","Digikey")</f>
        <v/>
      </c>
      <c r="G109" s="40" t="n"/>
      <c r="H109" s="40" t="n"/>
      <c r="I109" s="40" t="n"/>
      <c r="J109" s="40" t="n"/>
      <c r="K109" s="40" t="n"/>
      <c r="L109" s="40" t="n"/>
      <c r="M109" s="40" t="n"/>
      <c r="N109" s="40" t="n"/>
      <c r="O109" s="40" t="n"/>
      <c r="P109" s="40" t="n"/>
      <c r="Q109" s="40" t="n"/>
      <c r="R109" s="40" t="n"/>
      <c r="S109" s="40" t="n"/>
      <c r="T109" s="40" t="n"/>
      <c r="U109" s="40" t="n"/>
      <c r="V109" s="40" t="n"/>
      <c r="W109" s="40" t="n"/>
      <c r="X109" s="40" t="n"/>
    </row>
    <row r="110">
      <c r="A110" s="40" t="inlineStr">
        <is>
          <t>Cables</t>
        </is>
      </c>
      <c r="B110" s="40" t="inlineStr">
        <is>
          <t>MicroFit Connector Receptacle 2 Position (43645-0200)</t>
        </is>
      </c>
      <c r="C110" s="40" t="n"/>
      <c r="D110" s="40" t="n"/>
      <c r="E110" s="40" t="n"/>
      <c r="F110" s="41">
        <f>HYPERLINK("https://www.digikey.com/products/en","Digikey")</f>
        <v/>
      </c>
      <c r="G110" s="40" t="n"/>
      <c r="H110" s="40" t="n"/>
      <c r="I110" s="40" t="n"/>
      <c r="J110" s="40" t="n"/>
      <c r="K110" s="40" t="n"/>
      <c r="L110" s="40" t="n"/>
      <c r="M110" s="40" t="n"/>
      <c r="N110" s="40" t="n"/>
      <c r="O110" s="40" t="n"/>
      <c r="P110" s="40" t="n"/>
      <c r="Q110" s="40" t="n"/>
      <c r="R110" s="40" t="n"/>
      <c r="S110" s="40" t="n"/>
      <c r="T110" s="40" t="n"/>
      <c r="U110" s="40" t="n"/>
      <c r="V110" s="40" t="n"/>
      <c r="W110" s="40" t="n"/>
      <c r="X110" s="40" t="n"/>
    </row>
    <row r="111">
      <c r="A111" s="40" t="inlineStr">
        <is>
          <t>Cables</t>
        </is>
      </c>
      <c r="B111" s="40" t="inlineStr">
        <is>
          <t>MicroFit Connector Plug 4 Position (43640-0401)</t>
        </is>
      </c>
      <c r="C111" s="40" t="n"/>
      <c r="D111" s="40" t="n"/>
      <c r="E111" s="40" t="n"/>
      <c r="F111" s="41">
        <f>HYPERLINK("https://www.digikey.com/products/en","Digikey")</f>
        <v/>
      </c>
      <c r="G111" s="40" t="n"/>
      <c r="H111" s="40" t="n"/>
      <c r="I111" s="40" t="n"/>
      <c r="J111" s="40" t="n"/>
      <c r="K111" s="40" t="n"/>
      <c r="L111" s="40" t="n"/>
      <c r="M111" s="40" t="n"/>
      <c r="N111" s="40" t="n"/>
      <c r="O111" s="40" t="n"/>
      <c r="P111" s="40" t="n"/>
      <c r="Q111" s="40" t="n"/>
      <c r="R111" s="40" t="n"/>
      <c r="S111" s="40" t="n"/>
      <c r="T111" s="40" t="n"/>
      <c r="U111" s="40" t="n"/>
      <c r="V111" s="40" t="n"/>
      <c r="W111" s="40" t="n"/>
      <c r="X111" s="40" t="n"/>
    </row>
    <row r="112">
      <c r="A112" s="40" t="inlineStr">
        <is>
          <t>Cables</t>
        </is>
      </c>
      <c r="B112" s="40" t="inlineStr">
        <is>
          <t>MicroFit Connector Plug 3 Position (43640-0301)</t>
        </is>
      </c>
      <c r="C112" s="40" t="n"/>
      <c r="D112" s="40" t="n"/>
      <c r="E112" s="40" t="n"/>
      <c r="F112" s="41">
        <f>HYPERLINK("https://www.digikey.com/products/en","Digikey")</f>
        <v/>
      </c>
      <c r="G112" s="40" t="n"/>
      <c r="H112" s="40" t="n"/>
      <c r="I112" s="40" t="n"/>
      <c r="J112" s="40" t="n"/>
      <c r="K112" s="40" t="n"/>
      <c r="L112" s="40" t="n"/>
      <c r="M112" s="40" t="n"/>
      <c r="N112" s="40" t="n"/>
      <c r="O112" s="40" t="n"/>
      <c r="P112" s="40" t="n"/>
      <c r="Q112" s="40" t="n"/>
      <c r="R112" s="40" t="n"/>
      <c r="S112" s="40" t="n"/>
      <c r="T112" s="40" t="n"/>
      <c r="U112" s="40" t="n"/>
      <c r="V112" s="40" t="n"/>
      <c r="W112" s="40" t="n"/>
      <c r="X112" s="40" t="n"/>
    </row>
    <row r="113">
      <c r="A113" s="40" t="inlineStr">
        <is>
          <t>Cables</t>
        </is>
      </c>
      <c r="B113" s="40" t="inlineStr">
        <is>
          <t>MicroFit Connector Plug 2 Position (43640-0201)</t>
        </is>
      </c>
      <c r="C113" s="40" t="n"/>
      <c r="D113" s="40" t="n"/>
      <c r="E113" s="40" t="n"/>
      <c r="F113" s="41">
        <f>HYPERLINK("https://www.digikey.com/products/en","Digikey")</f>
        <v/>
      </c>
      <c r="G113" s="40" t="n"/>
      <c r="H113" s="40" t="n"/>
      <c r="I113" s="40" t="n"/>
      <c r="J113" s="40" t="n"/>
      <c r="K113" s="40" t="n"/>
      <c r="L113" s="40" t="n"/>
      <c r="M113" s="40" t="n"/>
      <c r="N113" s="40" t="n"/>
      <c r="O113" s="40" t="n"/>
      <c r="P113" s="40" t="n"/>
      <c r="Q113" s="40" t="n"/>
      <c r="R113" s="40" t="n"/>
      <c r="S113" s="40" t="n"/>
      <c r="T113" s="40" t="n"/>
      <c r="U113" s="40" t="n"/>
      <c r="V113" s="40" t="n"/>
      <c r="W113" s="40" t="n"/>
      <c r="X113" s="40" t="n"/>
    </row>
    <row r="114">
      <c r="A114" s="40" t="inlineStr">
        <is>
          <t>Cables</t>
        </is>
      </c>
      <c r="B114" s="40" t="inlineStr">
        <is>
          <t>MLX Power Receptacle 3 Position (50-84-2030)</t>
        </is>
      </c>
      <c r="C114" s="40" t="n"/>
      <c r="D114" s="40" t="inlineStr">
        <is>
          <t>1</t>
        </is>
      </c>
      <c r="E114" s="40" t="inlineStr">
        <is>
          <t>All</t>
        </is>
      </c>
      <c r="F114" s="41">
        <f>HYPERLINK("https://www.digikey.com/products/en","Digikey")</f>
        <v/>
      </c>
      <c r="G114" s="40" t="n"/>
      <c r="H114" s="40" t="n"/>
      <c r="I114" s="40" t="n"/>
      <c r="J114" s="40" t="n"/>
      <c r="K114" s="40" t="n"/>
      <c r="L114" s="40" t="n"/>
      <c r="M114" s="40" t="n"/>
      <c r="N114" s="40" t="n"/>
      <c r="O114" s="40" t="n"/>
      <c r="P114" s="40" t="n"/>
      <c r="Q114" s="40" t="n"/>
      <c r="R114" s="40" t="n"/>
      <c r="S114" s="40" t="n"/>
      <c r="T114" s="40" t="n"/>
      <c r="U114" s="40" t="n"/>
      <c r="V114" s="40" t="n"/>
      <c r="W114" s="42" t="inlineStr">
        <is>
          <t>For Bed (Line, Neutral and Ground)</t>
        </is>
      </c>
      <c r="X114" s="40" t="n"/>
    </row>
    <row r="115">
      <c r="A115" s="40" t="inlineStr">
        <is>
          <t>Cables</t>
        </is>
      </c>
      <c r="B115" s="40" t="inlineStr">
        <is>
          <t>MLX Power Plug 3 Position (50-84-1030)</t>
        </is>
      </c>
      <c r="C115" s="40" t="n"/>
      <c r="D115" s="40" t="inlineStr">
        <is>
          <t>1</t>
        </is>
      </c>
      <c r="E115" s="40" t="inlineStr">
        <is>
          <t>All</t>
        </is>
      </c>
      <c r="F115" s="41">
        <f>HYPERLINK("https://www.digikey.com/products/en","Digikey")</f>
        <v/>
      </c>
      <c r="G115" s="40" t="n"/>
      <c r="H115" s="40" t="n"/>
      <c r="I115" s="40" t="n"/>
      <c r="J115" s="40" t="n"/>
      <c r="K115" s="40" t="n"/>
      <c r="L115" s="40" t="n"/>
      <c r="M115" s="40" t="n"/>
      <c r="N115" s="40" t="n"/>
      <c r="O115" s="40" t="n"/>
      <c r="P115" s="40" t="n"/>
      <c r="Q115" s="40" t="n"/>
      <c r="R115" s="40" t="n"/>
      <c r="S115" s="40" t="n"/>
      <c r="T115" s="40" t="n"/>
      <c r="U115" s="40" t="n"/>
      <c r="V115" s="40" t="n"/>
      <c r="W115" s="40" t="n"/>
      <c r="X115" s="40" t="n"/>
    </row>
    <row r="116">
      <c r="A116" s="40" t="inlineStr">
        <is>
          <t>Cables</t>
        </is>
      </c>
      <c r="B116" s="40" t="inlineStr">
        <is>
          <t>MLX Male Pin (02-08-2004)</t>
        </is>
      </c>
      <c r="C116" s="40" t="n"/>
      <c r="D116" s="40" t="inlineStr">
        <is>
          <t>3</t>
        </is>
      </c>
      <c r="E116" s="40" t="inlineStr">
        <is>
          <t>All</t>
        </is>
      </c>
      <c r="F116" s="41">
        <f>HYPERLINK("https://www.digikey.com/products/en","Digikey")</f>
        <v/>
      </c>
      <c r="G116" s="40" t="n"/>
      <c r="H116" s="40" t="n"/>
      <c r="I116" s="40" t="n"/>
      <c r="J116" s="40" t="n"/>
      <c r="K116" s="40" t="n"/>
      <c r="L116" s="40" t="n"/>
      <c r="M116" s="40" t="n"/>
      <c r="N116" s="40" t="n"/>
      <c r="O116" s="40" t="n"/>
      <c r="P116" s="40" t="n"/>
      <c r="Q116" s="40" t="n"/>
      <c r="R116" s="40" t="n"/>
      <c r="S116" s="40" t="n"/>
      <c r="T116" s="40" t="n"/>
      <c r="U116" s="40" t="n"/>
      <c r="V116" s="40" t="n"/>
      <c r="W116" s="40" t="n"/>
      <c r="X116" s="40" t="n"/>
    </row>
    <row r="117">
      <c r="A117" s="40" t="inlineStr">
        <is>
          <t>Cables</t>
        </is>
      </c>
      <c r="B117" s="40" t="inlineStr">
        <is>
          <t>MLX Female Pin (02-08-1002)</t>
        </is>
      </c>
      <c r="C117" s="40" t="n"/>
      <c r="D117" s="40" t="inlineStr">
        <is>
          <t>3</t>
        </is>
      </c>
      <c r="E117" s="40" t="inlineStr">
        <is>
          <t>All</t>
        </is>
      </c>
      <c r="F117" s="41">
        <f>HYPERLINK("https://www.digikey.com/products/en","Digikey")</f>
        <v/>
      </c>
      <c r="G117" s="40" t="n"/>
      <c r="H117" s="40" t="n"/>
      <c r="I117" s="40" t="n"/>
      <c r="J117" s="40" t="n"/>
      <c r="K117" s="40" t="n"/>
      <c r="L117" s="40" t="n"/>
      <c r="M117" s="40" t="n"/>
      <c r="N117" s="40" t="n"/>
      <c r="O117" s="40" t="n"/>
      <c r="P117" s="40" t="n"/>
      <c r="Q117" s="40" t="n"/>
      <c r="R117" s="40" t="n"/>
      <c r="S117" s="40" t="n"/>
      <c r="T117" s="40" t="n"/>
      <c r="U117" s="40" t="n"/>
      <c r="V117" s="40" t="n"/>
      <c r="W117" s="40" t="n"/>
      <c r="X117" s="40" t="n"/>
    </row>
    <row r="118">
      <c r="A118" s="40" t="inlineStr">
        <is>
          <t>Cables</t>
        </is>
      </c>
      <c r="B118" s="40" t="inlineStr">
        <is>
          <t>JST-XH Female Pin</t>
        </is>
      </c>
      <c r="C118" s="40" t="n"/>
      <c r="D118" s="40" t="inlineStr">
        <is>
          <t>40</t>
        </is>
      </c>
      <c r="E118" s="40" t="inlineStr">
        <is>
          <t>All</t>
        </is>
      </c>
      <c r="F118" s="41">
        <f>HYPERLINK("https://www.digikey.com/product-detail/en/amphenol-icc-fci/47649-000LF/609-3614-1-ND/2044035","Digikey")</f>
        <v/>
      </c>
      <c r="G118" s="40" t="n"/>
      <c r="H118" s="43">
        <f>HYPERLINK("https://www.amazon.com/dp/B015Y6JOUG","Amazon")</f>
        <v/>
      </c>
      <c r="I118" s="40" t="n"/>
      <c r="J118" s="43">
        <f>HYPERLINK("https://www.amazon.com/dp/B01G0I0ZZK","Amazon")</f>
        <v/>
      </c>
      <c r="K118" s="43">
        <f>HYPERLINK("https://amzn.to/2l5ZXY8","[Affiliate Link]")</f>
        <v/>
      </c>
      <c r="L118" s="40" t="n"/>
      <c r="M118" s="40" t="n"/>
      <c r="N118" s="40" t="n"/>
      <c r="O118" s="40" t="n"/>
      <c r="P118" s="40" t="n"/>
      <c r="Q118" s="40" t="n"/>
      <c r="R118" s="40" t="n"/>
      <c r="S118" s="40" t="n"/>
      <c r="T118" s="40" t="n"/>
      <c r="U118" s="40" t="n"/>
      <c r="V118" s="40" t="n"/>
      <c r="W118" s="42" t="inlineStr">
        <is>
          <t>Most modern boards use JST XH connectors for fan, stepper, thermistor, and endstop connections, but be sure to check the documentation for your board.</t>
        </is>
      </c>
      <c r="X118" s="44" t="inlineStr">
        <is>
          <t>some links were dead</t>
        </is>
      </c>
    </row>
    <row r="119">
      <c r="A119" s="40" t="inlineStr">
        <is>
          <t>Cables</t>
        </is>
      </c>
      <c r="B119" s="40" t="inlineStr">
        <is>
          <t>JST-XH Connector Plug 4 Position</t>
        </is>
      </c>
      <c r="C119" s="40" t="n"/>
      <c r="D119" s="40" t="inlineStr">
        <is>
          <t>5</t>
        </is>
      </c>
      <c r="E119" s="40" t="inlineStr">
        <is>
          <t>All</t>
        </is>
      </c>
      <c r="F119" s="41">
        <f>HYPERLINK("https://www.digikey.com/product-detail/en/amphenol-icc-fci/65039-033ELF/609-5481-ND/4272532","Digikey")</f>
        <v/>
      </c>
      <c r="G119" s="40" t="n"/>
      <c r="H119" s="40" t="n"/>
      <c r="I119" s="40" t="n"/>
      <c r="J119" s="40" t="n"/>
      <c r="K119" s="40" t="n"/>
      <c r="L119" s="40" t="n"/>
      <c r="M119" s="40" t="n"/>
      <c r="N119" s="40" t="n"/>
      <c r="O119" s="40" t="n"/>
      <c r="P119" s="40" t="n"/>
      <c r="Q119" s="40" t="n"/>
      <c r="R119" s="40" t="n"/>
      <c r="S119" s="40" t="n"/>
      <c r="T119" s="40" t="n"/>
      <c r="U119" s="40" t="n"/>
      <c r="V119" s="40" t="n"/>
      <c r="W119" s="40" t="n"/>
      <c r="X119" s="40" t="n"/>
    </row>
    <row r="120">
      <c r="A120" s="40" t="inlineStr">
        <is>
          <t>Cables</t>
        </is>
      </c>
      <c r="B120" s="40" t="inlineStr">
        <is>
          <t>JST-XH Connector Plug 3 Position</t>
        </is>
      </c>
      <c r="C120" s="40" t="n"/>
      <c r="D120" s="40" t="inlineStr">
        <is>
          <t>4</t>
        </is>
      </c>
      <c r="E120" s="40" t="inlineStr">
        <is>
          <t>All</t>
        </is>
      </c>
      <c r="F120" s="41">
        <f>HYPERLINK("https://www.digikey.com/product-detail/en/amphenol-icc-fci/65039-034ELF/609-5482-ND/4272533","Digikey")</f>
        <v/>
      </c>
      <c r="G120" s="40" t="n"/>
      <c r="H120" s="40" t="n"/>
      <c r="I120" s="40" t="n"/>
      <c r="J120" s="40" t="n"/>
      <c r="K120" s="40" t="n"/>
      <c r="L120" s="40" t="n"/>
      <c r="M120" s="40" t="n"/>
      <c r="N120" s="40" t="n"/>
      <c r="O120" s="40" t="n"/>
      <c r="P120" s="40" t="n"/>
      <c r="Q120" s="40" t="n"/>
      <c r="R120" s="40" t="n"/>
      <c r="S120" s="40" t="n"/>
      <c r="T120" s="40" t="n"/>
      <c r="U120" s="40" t="n"/>
      <c r="V120" s="40" t="n"/>
      <c r="W120" s="40" t="n"/>
      <c r="X120" s="40" t="n"/>
    </row>
    <row r="121">
      <c r="A121" s="40" t="inlineStr">
        <is>
          <t>Cables</t>
        </is>
      </c>
      <c r="B121" s="40" t="inlineStr">
        <is>
          <t>JST-XH Connector Plug 2 Position</t>
        </is>
      </c>
      <c r="C121" s="40" t="n"/>
      <c r="D121" s="40" t="inlineStr">
        <is>
          <t>4</t>
        </is>
      </c>
      <c r="E121" s="40" t="inlineStr">
        <is>
          <t>All</t>
        </is>
      </c>
      <c r="F121" s="41">
        <f>HYPERLINK("https://www.digikey.com/product-detail/en/amphenol-icc-fci/65039-035ELF/609-5483-ND/4272534","Digikey")</f>
        <v/>
      </c>
      <c r="G121" s="40" t="n"/>
      <c r="H121" s="40" t="n"/>
      <c r="I121" s="40" t="n"/>
      <c r="J121" s="40" t="n"/>
      <c r="K121" s="40" t="n"/>
      <c r="L121" s="40" t="n"/>
      <c r="M121" s="40" t="n"/>
      <c r="N121" s="40" t="n"/>
      <c r="O121" s="40" t="n"/>
      <c r="P121" s="40" t="n"/>
      <c r="Q121" s="40" t="n"/>
      <c r="R121" s="40" t="n"/>
      <c r="S121" s="40" t="n"/>
      <c r="T121" s="40" t="n"/>
      <c r="U121" s="40" t="n"/>
      <c r="V121" s="40" t="n"/>
      <c r="W121" s="40" t="n"/>
      <c r="X121" s="40" t="n"/>
    </row>
    <row r="122">
      <c r="A122" s="40" t="inlineStr">
        <is>
          <t>Cables</t>
        </is>
      </c>
      <c r="B122" s="40" t="inlineStr">
        <is>
          <t>Dupont Female Pin</t>
        </is>
      </c>
      <c r="C122" s="40" t="n"/>
      <c r="D122" s="40" t="inlineStr">
        <is>
          <t>2</t>
        </is>
      </c>
      <c r="E122" s="40" t="inlineStr">
        <is>
          <t>All</t>
        </is>
      </c>
      <c r="F122" s="41">
        <f>HYPERLINK("https://www.digikey.com/product-detail/en/amphenol-icc-fci/47649-000LF/609-3614-1-ND/2044035","Digikey")</f>
        <v/>
      </c>
      <c r="G122" s="40" t="n"/>
      <c r="H122" s="43">
        <f>HYPERLINK("https://www.amazon.com/dp/B01G0I0ZZK","Amazon")</f>
        <v/>
      </c>
      <c r="I122" s="43">
        <f>HYPERLINK("https://amzn.to/2l5ZXY8","[Affiliate Link]")</f>
        <v/>
      </c>
      <c r="J122" s="40" t="n"/>
      <c r="K122" s="40" t="n"/>
      <c r="L122" s="40" t="n"/>
      <c r="M122" s="40" t="n"/>
      <c r="N122" s="40" t="n"/>
      <c r="O122" s="40" t="n"/>
      <c r="P122" s="40" t="n"/>
      <c r="Q122" s="40" t="n"/>
      <c r="R122" s="40" t="n"/>
      <c r="S122" s="40" t="n"/>
      <c r="T122" s="40" t="n"/>
      <c r="U122" s="40" t="n"/>
      <c r="V122" s="40" t="n"/>
      <c r="W122" s="40" t="n"/>
      <c r="X122" s="40" t="n"/>
    </row>
    <row r="123">
      <c r="A123" s="40" t="inlineStr">
        <is>
          <t>Cables</t>
        </is>
      </c>
      <c r="B123" s="40" t="inlineStr">
        <is>
          <t>Dupont 2 Pin Connector</t>
        </is>
      </c>
      <c r="C123" s="40" t="n"/>
      <c r="D123" s="40" t="inlineStr">
        <is>
          <t>1</t>
        </is>
      </c>
      <c r="E123" s="40" t="inlineStr">
        <is>
          <t>All</t>
        </is>
      </c>
      <c r="F123" s="40" t="n"/>
      <c r="G123" s="40" t="n"/>
      <c r="H123" s="40" t="n"/>
      <c r="I123" s="40" t="n"/>
      <c r="J123" s="40" t="n"/>
      <c r="K123" s="40" t="n"/>
      <c r="L123" s="40" t="n"/>
      <c r="M123" s="40" t="n"/>
      <c r="N123" s="40" t="n"/>
      <c r="O123" s="40" t="n"/>
      <c r="P123" s="40" t="n"/>
      <c r="Q123" s="40" t="n"/>
      <c r="R123" s="40" t="n"/>
      <c r="S123" s="40" t="n"/>
      <c r="T123" s="40" t="n"/>
      <c r="U123" s="40" t="n"/>
      <c r="V123" s="40" t="n"/>
      <c r="W123" s="42" t="inlineStr">
        <is>
          <t>For feeding power into the Pi</t>
        </is>
      </c>
      <c r="X123" s="40" t="n"/>
    </row>
    <row r="124">
      <c r="A124" s="40" t="inlineStr">
        <is>
          <t>Cables</t>
        </is>
      </c>
      <c r="B124" s="40" t="inlineStr">
        <is>
          <t>22AWG PTFE wire (100ft total)</t>
        </is>
      </c>
      <c r="C124" s="40" t="n"/>
      <c r="D124" s="40" t="inlineStr">
        <is>
          <t>1</t>
        </is>
      </c>
      <c r="E124" s="40" t="inlineStr">
        <is>
          <t>All</t>
        </is>
      </c>
      <c r="F124" s="40" t="n"/>
      <c r="G124" s="40" t="n"/>
      <c r="H124" s="40" t="n"/>
      <c r="I124" s="40" t="n"/>
      <c r="J124" s="40" t="n"/>
      <c r="K124" s="40" t="n"/>
      <c r="L124" s="40" t="n"/>
      <c r="M124" s="40" t="n"/>
      <c r="N124" s="40" t="n"/>
      <c r="O124" s="40" t="n"/>
      <c r="P124" s="40" t="n"/>
      <c r="Q124" s="40" t="n"/>
      <c r="R124" s="40" t="n"/>
      <c r="S124" s="40" t="n"/>
      <c r="T124" s="40" t="n"/>
      <c r="U124" s="40" t="n"/>
      <c r="V124" s="40" t="n"/>
      <c r="W124" s="42" t="inlineStr">
        <is>
          <t>24AWG is sufficent, however make sure it is high strand count: 7 strand wire will break in the cable chains</t>
        </is>
      </c>
      <c r="X124" s="44" t="inlineStr">
        <is>
          <t>all links were dead</t>
        </is>
      </c>
    </row>
    <row r="125">
      <c r="A125" s="40" t="inlineStr">
        <is>
          <t>Cables</t>
        </is>
      </c>
      <c r="B125" s="40" t="inlineStr">
        <is>
          <t>20AWG PTFE wire (10ft total)</t>
        </is>
      </c>
      <c r="C125" s="40" t="n"/>
      <c r="D125" s="40" t="inlineStr">
        <is>
          <t>1</t>
        </is>
      </c>
      <c r="E125" s="40" t="inlineStr">
        <is>
          <t>All</t>
        </is>
      </c>
      <c r="F125" s="40" t="n"/>
      <c r="G125" s="40" t="n"/>
      <c r="H125" s="40" t="n"/>
      <c r="I125" s="40" t="n"/>
      <c r="J125" s="40" t="n"/>
      <c r="K125" s="40" t="n"/>
      <c r="L125" s="40" t="n"/>
      <c r="M125" s="40" t="n"/>
      <c r="N125" s="40" t="n"/>
      <c r="O125" s="40" t="n"/>
      <c r="P125" s="40" t="n"/>
      <c r="Q125" s="40" t="n"/>
      <c r="R125" s="40" t="n"/>
      <c r="S125" s="40" t="n"/>
      <c r="T125" s="40" t="n"/>
      <c r="U125" s="40" t="n"/>
      <c r="V125" s="40" t="n"/>
      <c r="W125" s="40" t="n"/>
      <c r="X125" s="44" t="inlineStr">
        <is>
          <t>all links were dead</t>
        </is>
      </c>
    </row>
    <row r="126">
      <c r="A126" s="40" t="inlineStr">
        <is>
          <t>Cables</t>
        </is>
      </c>
      <c r="B126" s="40" t="inlineStr">
        <is>
          <t>18AWG PTFE wire wire (10ft total)</t>
        </is>
      </c>
      <c r="C126" s="40" t="n"/>
      <c r="D126" s="40" t="inlineStr">
        <is>
          <t>1</t>
        </is>
      </c>
      <c r="E126" s="40" t="inlineStr">
        <is>
          <t>All</t>
        </is>
      </c>
      <c r="F126" s="40" t="n"/>
      <c r="G126" s="40" t="n"/>
      <c r="H126" s="40" t="n"/>
      <c r="I126" s="40" t="n"/>
      <c r="J126" s="40" t="n"/>
      <c r="K126" s="40" t="n"/>
      <c r="L126" s="40" t="n"/>
      <c r="M126" s="40" t="n"/>
      <c r="N126" s="40" t="n"/>
      <c r="O126" s="40" t="n"/>
      <c r="P126" s="40" t="n"/>
      <c r="Q126" s="40" t="n"/>
      <c r="R126" s="40" t="n"/>
      <c r="S126" s="40" t="n"/>
      <c r="T126" s="40" t="n"/>
      <c r="U126" s="40" t="n"/>
      <c r="V126" s="40" t="n"/>
      <c r="W126" s="40" t="n"/>
      <c r="X126" s="44" t="inlineStr">
        <is>
          <t>all links were dead</t>
        </is>
      </c>
    </row>
    <row r="127">
      <c r="A127" s="45" t="inlineStr">
        <is>
          <t>Panels</t>
        </is>
      </c>
      <c r="B127" s="45" t="inlineStr">
        <is>
          <t>Deck, Bottom and Back Panels</t>
        </is>
      </c>
      <c r="C127" s="45" t="n"/>
      <c r="D127" s="45" t="n"/>
      <c r="E127" s="45" t="n"/>
      <c r="F127" s="46">
        <f>HYPERLINK("https://www.michaels.com/corrugated-board-by-creatology/M10567770.html","Michaels Craft Store (Coroplast)")</f>
        <v/>
      </c>
      <c r="G127" s="45" t="n"/>
      <c r="H127" s="47">
        <f>HYPERLINK("https://www.printedsolid.com/products/voron-trident-panel-set-made-from-aluminum-composite-material-acrylic-sold-separate","Printed Solid")</f>
        <v/>
      </c>
      <c r="I127" s="45" t="n"/>
      <c r="J127" s="47">
        <f>HYPERLINK("https://www.mnlasercutting.com/","MN Laser Cutting")</f>
        <v/>
      </c>
      <c r="K127" s="45" t="n"/>
      <c r="L127" s="45" t="n"/>
      <c r="M127" s="45" t="n"/>
      <c r="N127" s="45" t="n"/>
      <c r="O127" s="45" t="n"/>
      <c r="P127" s="45" t="n"/>
      <c r="Q127" s="45" t="n"/>
      <c r="R127" s="45" t="n"/>
      <c r="S127" s="45" t="n"/>
      <c r="T127" s="45" t="n"/>
      <c r="U127" s="45" t="n"/>
      <c r="V127" s="45" t="n"/>
      <c r="W127" s="54" t="inlineStr">
        <is>
          <t>ABS and ACM Sheets are a common replacement that are also easy to cut and offer a more rigid surface for the deck plate that can have components mounted directly to it</t>
        </is>
      </c>
      <c r="X127" s="45" t="n"/>
    </row>
    <row r="128">
      <c r="A128" s="45" t="inlineStr">
        <is>
          <t>Panels</t>
        </is>
      </c>
      <c r="B128" s="45" t="inlineStr">
        <is>
          <t>Side/Front/Top Polycarbonate Panels</t>
        </is>
      </c>
      <c r="C128" s="45" t="n"/>
      <c r="D128" s="45" t="n"/>
      <c r="E128" s="45" t="n"/>
      <c r="F128" s="46">
        <f>HYPERLINK("https://www.tapplastics.com/product/plastics/cut_to_size_plastic/polycarbonate_sheets/516","TAP Plastics (Polycarbonate)")</f>
        <v/>
      </c>
      <c r="G128" s="45" t="n"/>
      <c r="H128" s="45" t="n"/>
      <c r="I128" s="45" t="n"/>
      <c r="J128" s="45" t="n"/>
      <c r="K128" s="45" t="n"/>
      <c r="L128" s="45" t="n"/>
      <c r="M128" s="45" t="n"/>
      <c r="N128" s="45" t="n"/>
      <c r="O128" s="45" t="n"/>
      <c r="P128" s="45" t="n"/>
      <c r="Q128" s="45" t="n"/>
      <c r="R128" s="45" t="n"/>
      <c r="S128" s="45" t="n"/>
      <c r="T128" s="45" t="n"/>
      <c r="U128" s="45" t="n"/>
      <c r="V128" s="45" t="n"/>
      <c r="W128" s="54" t="inlineStr">
        <is>
          <t>See BOM for sizes</t>
        </is>
      </c>
      <c r="X128" s="55" t="inlineStr">
        <is>
          <t>some links were dead</t>
        </is>
      </c>
    </row>
    <row r="129">
      <c r="A129" s="48" t="inlineStr">
        <is>
          <t>Buildplate</t>
        </is>
      </c>
      <c r="B129" s="48" t="inlineStr">
        <is>
          <t>Aluminum Build Plate (MIC6/ATP-5/Jig Plate/etc) (5/16in or 8mm depending on whats available in your country)</t>
        </is>
      </c>
      <c r="C129" s="48" t="n"/>
      <c r="D129" s="48" t="inlineStr">
        <is>
          <t>10x10"</t>
        </is>
      </c>
      <c r="E129" s="48" t="inlineStr">
        <is>
          <t>250</t>
        </is>
      </c>
      <c r="F129" s="49">
        <f>HYPERLINK("https://www.mandalaroseworks.com/shop/voron","Mandala Rose Works")</f>
        <v/>
      </c>
      <c r="G129" s="48" t="n"/>
      <c r="H129" s="51">
        <f>HYPERLINK("https://clever3d.de/epages/7a4290fc-7c7f-46cc-9b99-eadef22228e2.sf/en_US?ObjectPath=%2FShops%2F7a4290fc-7c7f-46cc-9b99-eadef22228e2%2FProducts%2FAluGuss8mm","Clever3D.de")</f>
        <v/>
      </c>
      <c r="I129" s="48" t="n"/>
      <c r="J129" s="48" t="n"/>
      <c r="K129" s="48" t="n"/>
      <c r="L129" s="48" t="n"/>
      <c r="M129" s="48" t="n"/>
      <c r="N129" s="48" t="n"/>
      <c r="O129" s="48" t="n"/>
      <c r="P129" s="48" t="n"/>
      <c r="Q129" s="48" t="n"/>
      <c r="R129" s="48" t="n"/>
      <c r="S129" s="48" t="n"/>
      <c r="T129" s="48" t="n"/>
      <c r="U129" s="48" t="n"/>
      <c r="V129" s="48" t="n"/>
      <c r="W129" s="50" t="inlineStr">
        <is>
          <t>Thicker material is fine too, just keep in mind your heat up times will greatly increase</t>
        </is>
      </c>
      <c r="X129" s="48" t="n"/>
    </row>
    <row r="130">
      <c r="A130" s="48" t="inlineStr">
        <is>
          <t>Buildplate</t>
        </is>
      </c>
      <c r="B130" s="48" t="inlineStr">
        <is>
          <t>Aluminum Build Plate (MIC6/ATP-5/Jig Plate/etc) (5/16in or 8mm depending on whats available in your country)</t>
        </is>
      </c>
      <c r="C130" s="48" t="n"/>
      <c r="D130" s="48" t="inlineStr">
        <is>
          <t>12x12"</t>
        </is>
      </c>
      <c r="E130" s="48" t="inlineStr">
        <is>
          <t>300</t>
        </is>
      </c>
      <c r="F130" s="49">
        <f>HYPERLINK("https://www.mandalaroseworks.com/shop/voron","Mandala Rose Works")</f>
        <v/>
      </c>
      <c r="G130" s="48" t="n"/>
      <c r="H130" s="51">
        <f>HYPERLINK("https://clever3d.de/epages/7a4290fc-7c7f-46cc-9b99-eadef22228e2.sf/en_US?ObjectPath=%2FShops%2F7a4290fc-7c7f-46cc-9b99-eadef22228e2%2FProducts%2FAluGuss8mm","Clever3D.de")</f>
        <v/>
      </c>
      <c r="I130" s="48" t="n"/>
      <c r="J130" s="48" t="n"/>
      <c r="K130" s="48" t="n"/>
      <c r="L130" s="48" t="n"/>
      <c r="M130" s="48" t="n"/>
      <c r="N130" s="48" t="n"/>
      <c r="O130" s="48" t="n"/>
      <c r="P130" s="48" t="n"/>
      <c r="Q130" s="48" t="n"/>
      <c r="R130" s="48" t="n"/>
      <c r="S130" s="48" t="n"/>
      <c r="T130" s="48" t="n"/>
      <c r="U130" s="48" t="n"/>
      <c r="V130" s="48" t="n"/>
      <c r="W130" s="50" t="inlineStr">
        <is>
          <t>Thicker material is fine too, just keep in mind your heat up times will greatly increase</t>
        </is>
      </c>
      <c r="X130" s="48" t="n"/>
    </row>
    <row r="131">
      <c r="A131" s="48" t="inlineStr">
        <is>
          <t>Buildplate</t>
        </is>
      </c>
      <c r="B131" s="48" t="inlineStr">
        <is>
          <t>Aluminum Build Plate (MIC6/ATP-5/Jig Plate/etc) (5/16in or 8mm depending on whats available in your country)</t>
        </is>
      </c>
      <c r="C131" s="48" t="n"/>
      <c r="D131" s="48" t="inlineStr">
        <is>
          <t>14x14"</t>
        </is>
      </c>
      <c r="E131" s="48" t="inlineStr">
        <is>
          <t>350</t>
        </is>
      </c>
      <c r="F131" s="49">
        <f>HYPERLINK("https://www.mandalaroseworks.com/shop/voron","Mandala Rose Works")</f>
        <v/>
      </c>
      <c r="G131" s="48" t="n"/>
      <c r="H131" s="51">
        <f>HYPERLINK("https://clever3d.de/epages/7a4290fc-7c7f-46cc-9b99-eadef22228e2.sf/en_US?ObjectPath=%2FShops%2F7a4290fc-7c7f-46cc-9b99-eadef22228e2%2FProducts%2FAluGuss8mm","Clever3D.de")</f>
        <v/>
      </c>
      <c r="I131" s="48" t="n"/>
      <c r="J131" s="48" t="n"/>
      <c r="K131" s="48" t="n"/>
      <c r="L131" s="48" t="n"/>
      <c r="M131" s="48" t="n"/>
      <c r="N131" s="48" t="n"/>
      <c r="O131" s="48" t="n"/>
      <c r="P131" s="48" t="n"/>
      <c r="Q131" s="48" t="n"/>
      <c r="R131" s="48" t="n"/>
      <c r="S131" s="48" t="n"/>
      <c r="T131" s="48" t="n"/>
      <c r="U131" s="48" t="n"/>
      <c r="V131" s="48" t="n"/>
      <c r="W131" s="50" t="inlineStr">
        <is>
          <t>Thicker material is fine too, just keep in mind your heat up times will greatly increase</t>
        </is>
      </c>
      <c r="X131" s="48" t="n"/>
    </row>
    <row r="132">
      <c r="A132" s="48" t="inlineStr">
        <is>
          <t>Buildplate</t>
        </is>
      </c>
      <c r="B132" s="48" t="inlineStr">
        <is>
          <t>Silicone AC Heater 200x200mm</t>
        </is>
      </c>
      <c r="C132" s="48" t="n"/>
      <c r="D132" s="48" t="n"/>
      <c r="E132" s="48" t="n"/>
      <c r="F132" s="49">
        <f>HYPERLINK("https://keenovo.store/collections/standard-keenovo-silicone-heaters/products/keenovo-square-silicone-heater-3d-printer-build-plate-heatbed-heating-pad?variant=8324020731959","Keenovo (120v)")</f>
        <v/>
      </c>
      <c r="G132" s="48" t="n"/>
      <c r="H132" s="51">
        <f>HYPERLINK("https://keenovo.store/collections/standard-keenovo-silicone-heaters/products/keenovo-square-silicone-heater-3d-printer-build-plate-heatbed-heating-pad?variant=8324020764727","Keenovo (220v)")</f>
        <v/>
      </c>
      <c r="I132" s="48" t="n"/>
      <c r="J132" s="48" t="n"/>
      <c r="K132" s="48" t="n"/>
      <c r="L132" s="48" t="n"/>
      <c r="M132" s="48" t="n"/>
      <c r="N132" s="48" t="n"/>
      <c r="O132" s="48" t="n"/>
      <c r="P132" s="48" t="n"/>
      <c r="Q132" s="48" t="n"/>
      <c r="R132" s="48" t="n"/>
      <c r="S132" s="48" t="n"/>
      <c r="T132" s="48" t="n"/>
      <c r="U132" s="48" t="n"/>
      <c r="V132" s="48" t="n"/>
      <c r="W132" s="50" t="inlineStr">
        <is>
          <t>The heater size and power rating are not critical to have exactly at spec. The mat needs to be smaller than the bed so you have room for mounting hardware and an external thermal fuse. If the mat is underpowered, it will take longer to heat your bed. If it is overpowered, you can use firmware control to have it use less power. Using an overpowered heater at max power will heat your bed faster but make it more prone to warping. Choose an AC voltage suitable for your region.</t>
        </is>
      </c>
      <c r="X132" s="48" t="n"/>
    </row>
    <row r="133">
      <c r="A133" s="48" t="inlineStr">
        <is>
          <t>Buildplate</t>
        </is>
      </c>
      <c r="B133" s="48" t="inlineStr">
        <is>
          <t>Silicone AC Heater 240x240mm</t>
        </is>
      </c>
      <c r="C133" s="48" t="n"/>
      <c r="D133" s="48" t="n"/>
      <c r="E133" s="48" t="n"/>
      <c r="F133" s="49">
        <f>HYPERLINK("https://keenovo.store/collections/standard-keenovo-silicone-heaters/products/keenovo-square-silicone-heater-3d-printer-build-plate-heatbed-heating-pad?variant=8324020928567","Keenovo (120v)")</f>
        <v/>
      </c>
      <c r="G133" s="48" t="n"/>
      <c r="H133" s="51">
        <f>HYPERLINK("https://keenovo.store/collections/standard-keenovo-silicone-heaters/products/keenovo-square-silicone-heater-3d-printer-build-plate-heatbed-heating-pad?variant=8324020961335","Keenovo (220v)")</f>
        <v/>
      </c>
      <c r="I133" s="48" t="n"/>
      <c r="J133" s="48" t="n"/>
      <c r="K133" s="48" t="n"/>
      <c r="L133" s="48" t="n"/>
      <c r="M133" s="48" t="n"/>
      <c r="N133" s="48" t="n"/>
      <c r="O133" s="48" t="n"/>
      <c r="P133" s="48" t="n"/>
      <c r="Q133" s="48" t="n"/>
      <c r="R133" s="48" t="n"/>
      <c r="S133" s="48" t="n"/>
      <c r="T133" s="48" t="n"/>
      <c r="U133" s="48" t="n"/>
      <c r="V133" s="48" t="n"/>
      <c r="W133" s="48" t="n"/>
      <c r="X133" s="48" t="n"/>
    </row>
    <row r="134">
      <c r="A134" s="48" t="inlineStr">
        <is>
          <t>Buildplate</t>
        </is>
      </c>
      <c r="B134" s="48" t="inlineStr">
        <is>
          <t>Silicone AC Heater 300x300mm</t>
        </is>
      </c>
      <c r="C134" s="48" t="n"/>
      <c r="D134" s="48" t="n"/>
      <c r="E134" s="48" t="n"/>
      <c r="F134" s="49">
        <f>HYPERLINK("https://keenovo.store/collections/standard-keenovo-silicone-heaters/products/keenovo-square-silicone-heater-3d-printer-build-plate-heatbed-heating-pad?variant=8324021092407","Keenovo (120v)")</f>
        <v/>
      </c>
      <c r="G134" s="48" t="n"/>
      <c r="H134" s="51">
        <f>HYPERLINK("https://keenovo.store/collections/standard-keenovo-silicone-heaters/products/keenovo-square-silicone-heater-3d-printer-build-plate-heatbed-heating-pad?variant=8324021125175","Keenovo (220v)")</f>
        <v/>
      </c>
      <c r="I134" s="48" t="n"/>
      <c r="J134" s="48" t="n"/>
      <c r="K134" s="48" t="n"/>
      <c r="L134" s="48" t="n"/>
      <c r="M134" s="48" t="n"/>
      <c r="N134" s="48" t="n"/>
      <c r="O134" s="48" t="n"/>
      <c r="P134" s="48" t="n"/>
      <c r="Q134" s="48" t="n"/>
      <c r="R134" s="48" t="n"/>
      <c r="S134" s="48" t="n"/>
      <c r="T134" s="48" t="n"/>
      <c r="U134" s="48" t="n"/>
      <c r="V134" s="48" t="n"/>
      <c r="W134" s="48" t="n"/>
      <c r="X134" s="48" t="n"/>
    </row>
    <row r="135">
      <c r="A135" s="48" t="inlineStr">
        <is>
          <t>Buildplate</t>
        </is>
      </c>
      <c r="B135" s="48" t="inlineStr">
        <is>
          <t>PEI + 3M 468P (200MP)</t>
        </is>
      </c>
      <c r="C135" s="48" t="n"/>
      <c r="D135" s="48" t="n"/>
      <c r="E135" s="48" t="n"/>
      <c r="F135" s="49">
        <f>HYPERLINK("https://catalog.cshyde.com/item/pei-ultem/int-surface-10-mil-ultem-pei-w-3m-acrylic-adhesive/36-10a-3d-9-84-12-40","CSHyde (Trim)")</f>
        <v/>
      </c>
      <c r="G135" s="48" t="n"/>
      <c r="H135" s="51">
        <f>HYPERLINK("https://catalog.cshyde.com/item/pei-ultem/int-surface-10-mil-ultem-pei-w-3m-acrylic-adhesive/36-10a-3d-12x12","CSHyde")</f>
        <v/>
      </c>
      <c r="I135" s="48" t="n"/>
      <c r="J135" s="51">
        <f>HYPERLINK("https://catalog.cshyde.com/item/pei-sheet-3d-printing-build-surface/10-mil-ultem-pei-w-3m-acrylic-adhesive/36-10a-3d-4-7x4-7","CS Hyde")</f>
        <v/>
      </c>
      <c r="K135" s="48" t="n"/>
      <c r="L135" s="51">
        <f>HYPERLINK("https://catalog.cshyde.com/item/pei-ultem/int-surface-10-mil-ultem-pei-w-3m-acrylic-adhesive/36-10a-3d-14x14","CSHyde")</f>
        <v/>
      </c>
      <c r="M135" s="48" t="n"/>
      <c r="N135" s="48" t="n"/>
      <c r="O135" s="48" t="n"/>
      <c r="P135" s="48" t="n"/>
      <c r="Q135" s="48" t="n"/>
      <c r="R135" s="48" t="n"/>
      <c r="S135" s="48" t="n"/>
      <c r="T135" s="48" t="n"/>
      <c r="U135" s="48" t="n"/>
      <c r="V135" s="48" t="n"/>
      <c r="W135" s="48" t="n"/>
      <c r="X135" s="52" t="inlineStr">
        <is>
          <t>some links were dead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87"/>
  <sheetViews>
    <sheetView workbookViewId="0">
      <pane ySplit="1" topLeftCell="A2" activePane="bottomLeft" state="frozen"/>
      <selection pane="bottomLeft" activeCell="A1" sqref="A1"/>
    </sheetView>
  </sheetViews>
  <sheetFormatPr baseColWidth="8" defaultRowHeight="15"/>
  <cols>
    <col width="19.9" customWidth="1" min="1" max="1"/>
    <col width="34.5" customWidth="1" min="2" max="2"/>
    <col width="17.1" customWidth="1" min="3" max="3"/>
    <col width="7" customWidth="1" min="4" max="4"/>
    <col width="8.5" customWidth="1" min="5" max="5"/>
    <col width="20" customWidth="1" min="6" max="6"/>
    <col width="15" customWidth="1" min="7" max="7"/>
    <col width="20" customWidth="1" min="8" max="8"/>
    <col width="15" customWidth="1" min="9" max="9"/>
    <col width="20" customWidth="1" min="10" max="10"/>
    <col width="20" customWidth="1" min="11" max="11"/>
    <col width="15" customWidth="1" min="12" max="12"/>
    <col width="20" customWidth="1" min="13" max="13"/>
    <col width="20" customWidth="1" min="14" max="14"/>
    <col width="15" customWidth="1" min="15" max="15"/>
    <col width="20" customWidth="1" min="16" max="16"/>
    <col width="20" customWidth="1" min="17" max="17"/>
    <col width="20" customWidth="1" min="18" max="18"/>
    <col width="20" customWidth="1" min="19" max="19"/>
    <col width="20" customWidth="1" min="20" max="20"/>
    <col width="90" customWidth="1" min="21" max="21"/>
    <col width="20" customWidth="1" min="22" max="22"/>
  </cols>
  <sheetData>
    <row r="1">
      <c r="A1" s="3" t="inlineStr">
        <is>
          <t>Category</t>
        </is>
      </c>
      <c r="B1" s="3" t="inlineStr">
        <is>
          <t>Component</t>
        </is>
      </c>
      <c r="C1" s="3" t="inlineStr">
        <is>
          <t>Standard</t>
        </is>
      </c>
      <c r="D1" s="3" t="inlineStr">
        <is>
          <t>Qty</t>
        </is>
      </c>
      <c r="E1" s="3" t="inlineStr">
        <is>
          <t>Size</t>
        </is>
      </c>
      <c r="F1" s="4" t="inlineStr">
        <is>
          <t>Recommended</t>
        </is>
      </c>
      <c r="G1" s="3" t="inlineStr"/>
      <c r="H1" s="4" t="inlineStr">
        <is>
          <t>Alternative Source</t>
        </is>
      </c>
      <c r="I1" s="3" t="inlineStr"/>
      <c r="J1" s="4" t="inlineStr">
        <is>
          <t>Alternative Source 2</t>
        </is>
      </c>
      <c r="K1" s="4" t="inlineStr">
        <is>
          <t>Alternative Source 3</t>
        </is>
      </c>
      <c r="L1" s="3" t="inlineStr"/>
      <c r="M1" s="4" t="inlineStr">
        <is>
          <t>Alternative Source 4</t>
        </is>
      </c>
      <c r="N1" s="4" t="inlineStr">
        <is>
          <t>Alternative Source 5</t>
        </is>
      </c>
      <c r="O1" s="3" t="inlineStr"/>
      <c r="P1" s="4" t="inlineStr">
        <is>
          <t>Alternative Source 6</t>
        </is>
      </c>
      <c r="Q1" s="4" t="inlineStr">
        <is>
          <t>Alternative Source 7</t>
        </is>
      </c>
      <c r="R1" s="4" t="inlineStr">
        <is>
          <t>Alternative Source 8</t>
        </is>
      </c>
      <c r="S1" s="4" t="inlineStr">
        <is>
          <t>Alternative Source 9</t>
        </is>
      </c>
      <c r="T1" s="4" t="inlineStr">
        <is>
          <t>Alternative Source 10</t>
        </is>
      </c>
      <c r="U1" s="3" t="inlineStr">
        <is>
          <t>Notes</t>
        </is>
      </c>
      <c r="V1" s="3" t="inlineStr">
        <is>
          <t>Link check</t>
        </is>
      </c>
    </row>
    <row r="2">
      <c r="A2" s="9" t="inlineStr">
        <is>
          <t>Hardware</t>
        </is>
      </c>
      <c r="B2" s="9" t="inlineStr">
        <is>
          <t>Shim Washer - 6mm OD - 3mm ID - 0.5mm Thick (thickness is important)</t>
        </is>
      </c>
      <c r="C2" s="9" t="inlineStr">
        <is>
          <t>DIN988</t>
        </is>
      </c>
      <c r="D2" s="9" t="inlineStr">
        <is>
          <t>50</t>
        </is>
      </c>
      <c r="E2" s="9" t="inlineStr">
        <is>
          <t>All</t>
        </is>
      </c>
      <c r="F2" s="10">
        <f>HYPERLINK("https://s.click.aliexpress.com/e/_dUjNx0o","Aliexpress")</f>
        <v/>
      </c>
      <c r="G2" s="9" t="n"/>
      <c r="H2" s="11">
        <f>HYPERLINK("https://s.click.aliexpress.com/e/_Bf9nOYLc","Aliexpress")</f>
        <v/>
      </c>
      <c r="I2" s="9" t="n"/>
      <c r="J2" s="9" t="n"/>
      <c r="K2" s="9" t="n"/>
      <c r="L2" s="9" t="n"/>
      <c r="M2" s="9" t="n"/>
      <c r="N2" s="9" t="n"/>
      <c r="O2" s="9" t="n"/>
      <c r="P2" s="9" t="n"/>
      <c r="Q2" s="9" t="n"/>
      <c r="R2" s="9" t="n"/>
      <c r="S2" s="9" t="n"/>
      <c r="T2" s="9" t="n"/>
      <c r="U2" s="13" t="inlineStr">
        <is>
          <t>Shims with 7mm OD are fine as well. The 0.5mm thickness is important.</t>
        </is>
      </c>
      <c r="V2" s="9" t="n"/>
    </row>
    <row r="3">
      <c r="A3" s="9" t="inlineStr">
        <is>
          <t>Hardware</t>
        </is>
      </c>
      <c r="B3" s="9" t="inlineStr">
        <is>
          <t>M2 Nut</t>
        </is>
      </c>
      <c r="C3" s="9" t="inlineStr">
        <is>
          <t>ISO 4033 / DIN 934</t>
        </is>
      </c>
      <c r="D3" s="9" t="inlineStr">
        <is>
          <t>60</t>
        </is>
      </c>
      <c r="E3" s="9" t="inlineStr">
        <is>
          <t>All</t>
        </is>
      </c>
      <c r="F3" s="10">
        <f>HYPERLINK("https://www.boltdepot.com/Metric_hex_nuts_Stainless_steel_18-8_(A-2).aspx","Bolt Depot")</f>
        <v/>
      </c>
      <c r="G3" s="9" t="n"/>
      <c r="H3" s="9" t="n"/>
      <c r="I3" s="9" t="n"/>
      <c r="J3" s="9" t="n"/>
      <c r="K3" s="9" t="n"/>
      <c r="L3" s="9" t="n"/>
      <c r="M3" s="9" t="n"/>
      <c r="N3" s="9" t="n"/>
      <c r="O3" s="9" t="n"/>
      <c r="P3" s="9" t="n"/>
      <c r="Q3" s="9" t="n"/>
      <c r="R3" s="9" t="n"/>
      <c r="S3" s="9" t="n"/>
      <c r="T3" s="9" t="n"/>
      <c r="U3" s="9" t="n"/>
      <c r="V3" s="9" t="n"/>
    </row>
    <row r="4">
      <c r="A4" s="9" t="inlineStr">
        <is>
          <t>Hardware</t>
        </is>
      </c>
      <c r="B4" s="9" t="inlineStr">
        <is>
          <t>M3 Hexnut</t>
        </is>
      </c>
      <c r="C4" s="9" t="inlineStr">
        <is>
          <t>ISO 4033 / DIN 934</t>
        </is>
      </c>
      <c r="D4" s="9" t="inlineStr">
        <is>
          <t>140</t>
        </is>
      </c>
      <c r="E4" s="9" t="inlineStr">
        <is>
          <t>All</t>
        </is>
      </c>
      <c r="F4" s="10">
        <f>HYPERLINK("https://www.boltdepot.com/Product-Details.aspx?product=4783","Bolt Depot")</f>
        <v/>
      </c>
      <c r="G4" s="9" t="n"/>
      <c r="H4" s="11">
        <f>HYPERLINK("https://www.boltdepot.com/Metric_hex_nuts_Stainless_steel_18-8_(A-2).aspx","Bolt Depot")</f>
        <v/>
      </c>
      <c r="I4" s="9" t="n"/>
      <c r="J4" s="11">
        <f>HYPERLINK("https://www.mcmaster.com/90591A250/","McMaster-Carr (100 pack)")</f>
        <v/>
      </c>
      <c r="K4" s="11">
        <f>HYPERLINK("https://www.aliexpress.com/item/32977174437.html","Aliexpress")</f>
        <v/>
      </c>
      <c r="L4" s="9" t="n"/>
      <c r="M4" s="9" t="n"/>
      <c r="N4" s="9" t="n"/>
      <c r="O4" s="9" t="n"/>
      <c r="P4" s="9" t="n"/>
      <c r="Q4" s="9" t="n"/>
      <c r="R4" s="9" t="n"/>
      <c r="S4" s="9" t="n"/>
      <c r="T4" s="9" t="n"/>
      <c r="U4" s="9" t="n"/>
      <c r="V4" s="9" t="n"/>
    </row>
    <row r="5">
      <c r="A5" s="9" t="inlineStr">
        <is>
          <t>Hardware</t>
        </is>
      </c>
      <c r="B5" s="9" t="inlineStr">
        <is>
          <t>M2x6 SHCS</t>
        </is>
      </c>
      <c r="C5" s="9" t="inlineStr">
        <is>
          <t>ISO 4762 / DIN 912</t>
        </is>
      </c>
      <c r="D5" s="9" t="inlineStr">
        <is>
          <t>60</t>
        </is>
      </c>
      <c r="E5" s="9" t="inlineStr">
        <is>
          <t>All</t>
        </is>
      </c>
      <c r="F5" s="10">
        <f>HYPERLINK("https://www.boltdepot.com/Metric_socket_cap_Class_12.9_alloy_steel_black_oxide_finish_2mm_x_0.4mm.aspx","Bolt Depot")</f>
        <v/>
      </c>
      <c r="G5" s="9" t="n"/>
      <c r="H5" s="11">
        <f>HYPERLINK("https://www.aliexpress.com/item/2251832870888463.html","Aliexpress")</f>
        <v/>
      </c>
      <c r="I5" s="9" t="n"/>
      <c r="J5" s="11">
        <f>HYPERLINK("https://www.amazon.com/dp/B07W5J19Y5","Amazon - M2 kit")</f>
        <v/>
      </c>
      <c r="K5" s="9" t="n"/>
      <c r="L5" s="9" t="n"/>
      <c r="M5" s="9" t="n"/>
      <c r="N5" s="9" t="n"/>
      <c r="O5" s="9" t="n"/>
      <c r="P5" s="9" t="n"/>
      <c r="Q5" s="9" t="n"/>
      <c r="R5" s="9" t="n"/>
      <c r="S5" s="9" t="n"/>
      <c r="T5" s="9" t="n"/>
      <c r="U5" s="9" t="n"/>
      <c r="V5" s="9" t="n"/>
    </row>
    <row r="6">
      <c r="A6" s="9" t="inlineStr">
        <is>
          <t>Hardware</t>
        </is>
      </c>
      <c r="B6" s="9" t="inlineStr">
        <is>
          <t>M2x6 FHCS</t>
        </is>
      </c>
      <c r="C6" s="9" t="inlineStr">
        <is>
          <t>ISO 10642 / DIN7991</t>
        </is>
      </c>
      <c r="D6" s="9" t="inlineStr">
        <is>
          <t>10</t>
        </is>
      </c>
      <c r="E6" s="9" t="inlineStr">
        <is>
          <t>All</t>
        </is>
      </c>
      <c r="F6" s="10">
        <f>HYPERLINK("https://www.mcmaster.com/91294A004/","Mcmaster")</f>
        <v/>
      </c>
      <c r="G6" s="9" t="n"/>
      <c r="H6" s="11">
        <f>HYPERLINK("https://www.aliexpress.com/item/32968616563.html","Aliexpress")</f>
        <v/>
      </c>
      <c r="I6" s="9" t="n"/>
      <c r="J6" s="9" t="n"/>
      <c r="K6" s="9" t="n"/>
      <c r="L6" s="9" t="n"/>
      <c r="M6" s="9" t="n"/>
      <c r="N6" s="9" t="n"/>
      <c r="O6" s="9" t="n"/>
      <c r="P6" s="9" t="n"/>
      <c r="Q6" s="9" t="n"/>
      <c r="R6" s="9" t="n"/>
      <c r="S6" s="9" t="n"/>
      <c r="T6" s="9" t="n"/>
      <c r="U6" s="13" t="inlineStr">
        <is>
          <t>yes the head type is important</t>
        </is>
      </c>
      <c r="V6" s="9" t="n"/>
    </row>
    <row r="7">
      <c r="A7" s="9" t="inlineStr">
        <is>
          <t>Hardware</t>
        </is>
      </c>
      <c r="B7" s="9" t="inlineStr">
        <is>
          <t>M2x8 SHCS</t>
        </is>
      </c>
      <c r="C7" s="9" t="inlineStr">
        <is>
          <t>ISO 4762 / DIN 912</t>
        </is>
      </c>
      <c r="D7" s="9" t="inlineStr">
        <is>
          <t>10</t>
        </is>
      </c>
      <c r="E7" s="9" t="inlineStr">
        <is>
          <t>All</t>
        </is>
      </c>
      <c r="F7" s="10">
        <f>HYPERLINK("https://www.boltdepot.com/Metric_socket_cap_Class_12.9_alloy_steel_black_oxide_finish_2mm_x_0.4mm.aspx","Bolt Depot")</f>
        <v/>
      </c>
      <c r="G7" s="9" t="n"/>
      <c r="H7" s="11">
        <f>HYPERLINK("https://s.click.aliexpress.com/e/_d6vrEGq","Aliexpress")</f>
        <v/>
      </c>
      <c r="I7" s="9" t="n"/>
      <c r="J7" s="11">
        <f>HYPERLINK("https://amzn.to/3c0xpEh","Amazon - M2 kit")</f>
        <v/>
      </c>
      <c r="K7" s="11">
        <f>HYPERLINK("https://www.aliexpress.com/item/2251832870888463.html","Aliexpress")</f>
        <v/>
      </c>
      <c r="L7" s="9" t="n"/>
      <c r="M7" s="11">
        <f>HYPERLINK("https://amzn.to/2SiHdlD","Amazon - M2 kit [Affiliate Link]")</f>
        <v/>
      </c>
      <c r="N7" s="9" t="n"/>
      <c r="O7" s="9" t="n"/>
      <c r="P7" s="9" t="n"/>
      <c r="Q7" s="9" t="n"/>
      <c r="R7" s="9" t="n"/>
      <c r="S7" s="9" t="n"/>
      <c r="T7" s="9" t="n"/>
      <c r="U7" s="9" t="n"/>
      <c r="V7" s="9" t="n"/>
    </row>
    <row r="8">
      <c r="A8" s="9" t="inlineStr">
        <is>
          <t>Fasteners</t>
        </is>
      </c>
      <c r="B8" s="9" t="inlineStr">
        <is>
          <t>M3x6 BHCS</t>
        </is>
      </c>
      <c r="C8" s="9" t="inlineStr">
        <is>
          <t>ISO 7380-1</t>
        </is>
      </c>
      <c r="D8" s="9" t="inlineStr">
        <is>
          <t>40</t>
        </is>
      </c>
      <c r="E8" s="9" t="inlineStr">
        <is>
          <t>All</t>
        </is>
      </c>
      <c r="F8" s="10">
        <f>HYPERLINK("https://www.boltdepot.com/Product-Details.aspx?product=13334","Bolt Depot")</f>
        <v/>
      </c>
      <c r="G8" s="9" t="n"/>
      <c r="H8" s="11">
        <f>HYPERLINK("https://www.boltdepot.com/Metric_socket_button_head_Class_12.9_alloy_steel_black_oxide_finish_3mm_x_0.5mm.aspx","Bolt Depot")</f>
        <v/>
      </c>
      <c r="I8" s="9" t="n"/>
      <c r="J8" s="11">
        <f>HYPERLINK("https://www.mcmaster.com/91239A111/","McMaster-Carr (100 pack)")</f>
        <v/>
      </c>
      <c r="K8" s="11">
        <f>HYPERLINK("https://s.click.aliexpress.com/e/_d7V4XEq","Aliexpress")</f>
        <v/>
      </c>
      <c r="L8" s="9" t="n"/>
      <c r="M8" s="9" t="n"/>
      <c r="N8" s="9" t="n"/>
      <c r="O8" s="9" t="n"/>
      <c r="P8" s="9" t="n"/>
      <c r="Q8" s="9" t="n"/>
      <c r="R8" s="9" t="n"/>
      <c r="S8" s="9" t="n"/>
      <c r="T8" s="9" t="n"/>
      <c r="U8" s="9" t="n"/>
      <c r="V8" s="9" t="n"/>
    </row>
    <row r="9">
      <c r="A9" s="9" t="inlineStr">
        <is>
          <t>Hardware</t>
        </is>
      </c>
      <c r="B9" s="9" t="inlineStr">
        <is>
          <t>M3x8 BHCS</t>
        </is>
      </c>
      <c r="C9" s="9" t="inlineStr">
        <is>
          <t>ISO 7380-1</t>
        </is>
      </c>
      <c r="D9" s="9" t="inlineStr">
        <is>
          <t>115</t>
        </is>
      </c>
      <c r="E9" s="9" t="inlineStr">
        <is>
          <t>All</t>
        </is>
      </c>
      <c r="F9" s="10">
        <f>HYPERLINK("https://www.boltdepot.com/Metric_socket_button_head_Class_12.9_alloy_steel_black_oxide_finish_3mm_x_0.5mm.aspx","Bolt Depot")</f>
        <v/>
      </c>
      <c r="G9" s="9" t="n"/>
      <c r="H9" s="11">
        <f>HYPERLINK("https://s.click.aliexpress.com/e/_d69Qoqw","Aliexpress")</f>
        <v/>
      </c>
      <c r="I9" s="9" t="n"/>
      <c r="J9" s="9" t="n"/>
      <c r="K9" s="9" t="n"/>
      <c r="L9" s="9" t="n"/>
      <c r="M9" s="9" t="n"/>
      <c r="N9" s="9" t="n"/>
      <c r="O9" s="9" t="n"/>
      <c r="P9" s="9" t="n"/>
      <c r="Q9" s="9" t="n"/>
      <c r="R9" s="9" t="n"/>
      <c r="S9" s="9" t="n"/>
      <c r="T9" s="9" t="n"/>
      <c r="U9" s="9" t="n"/>
      <c r="V9" s="9" t="n"/>
    </row>
    <row r="10">
      <c r="A10" s="9" t="inlineStr">
        <is>
          <t>Hardware</t>
        </is>
      </c>
      <c r="B10" s="9" t="inlineStr">
        <is>
          <t>M3x8 FHCS</t>
        </is>
      </c>
      <c r="C10" s="9" t="inlineStr">
        <is>
          <t>ISO 10642</t>
        </is>
      </c>
      <c r="D10" s="9" t="inlineStr">
        <is>
          <t>5</t>
        </is>
      </c>
      <c r="E10" s="9" t="inlineStr">
        <is>
          <t>All</t>
        </is>
      </c>
      <c r="F10" s="9" t="n"/>
      <c r="G10" s="9" t="n"/>
      <c r="H10" s="9" t="n"/>
      <c r="I10" s="9" t="n"/>
      <c r="J10" s="9" t="n"/>
      <c r="K10" s="9" t="n"/>
      <c r="L10" s="9" t="n"/>
      <c r="M10" s="9" t="n"/>
      <c r="N10" s="9" t="n"/>
      <c r="O10" s="9" t="n"/>
      <c r="P10" s="9" t="n"/>
      <c r="Q10" s="9" t="n"/>
      <c r="R10" s="9" t="n"/>
      <c r="S10" s="9" t="n"/>
      <c r="T10" s="9" t="n"/>
      <c r="U10" s="9" t="n"/>
      <c r="V10" s="9" t="n"/>
    </row>
    <row r="11">
      <c r="A11" s="9" t="inlineStr">
        <is>
          <t>Hardware</t>
        </is>
      </c>
      <c r="B11" s="9" t="inlineStr">
        <is>
          <t>M3x10 BHCS</t>
        </is>
      </c>
      <c r="C11" s="9" t="inlineStr">
        <is>
          <t>ISO 7380-1</t>
        </is>
      </c>
      <c r="D11" s="9" t="inlineStr">
        <is>
          <t>50</t>
        </is>
      </c>
      <c r="E11" s="9" t="inlineStr">
        <is>
          <t>All</t>
        </is>
      </c>
      <c r="F11" s="10">
        <f>HYPERLINK("https://www.boltdepot.com/Metric_socket_button_head_Class_12.9_alloy_steel_black_oxide_finish_3mm_x_0.5mm.aspx","Bolt Depot")</f>
        <v/>
      </c>
      <c r="G11" s="9" t="n"/>
      <c r="H11" s="11">
        <f>HYPERLINK("https://s.click.aliexpress.com/e/_dTG8kTc","Aliexpress")</f>
        <v/>
      </c>
      <c r="I11" s="9" t="n"/>
      <c r="J11" s="9" t="n"/>
      <c r="K11" s="9" t="n"/>
      <c r="L11" s="9" t="n"/>
      <c r="M11" s="9" t="n"/>
      <c r="N11" s="9" t="n"/>
      <c r="O11" s="9" t="n"/>
      <c r="P11" s="9" t="n"/>
      <c r="Q11" s="9" t="n"/>
      <c r="R11" s="9" t="n"/>
      <c r="S11" s="9" t="n"/>
      <c r="T11" s="9" t="n"/>
      <c r="U11" s="9" t="n"/>
      <c r="V11" s="9" t="n"/>
    </row>
    <row r="12">
      <c r="A12" s="9" t="inlineStr">
        <is>
          <t>Hardware</t>
        </is>
      </c>
      <c r="B12" s="9" t="inlineStr">
        <is>
          <t>M3x12 BHCS</t>
        </is>
      </c>
      <c r="C12" s="9" t="inlineStr">
        <is>
          <t>ISO 7380-1</t>
        </is>
      </c>
      <c r="D12" s="9" t="inlineStr">
        <is>
          <t>25</t>
        </is>
      </c>
      <c r="E12" s="9" t="inlineStr">
        <is>
          <t>All</t>
        </is>
      </c>
      <c r="F12" s="10">
        <f>HYPERLINK("https://www.boltdepot.com/Metric_socket_button_head_Class_12.9_alloy_steel_black_oxide_finish_3mm_x_0.5mm.aspx","Bolt Depot")</f>
        <v/>
      </c>
      <c r="G12" s="9" t="n"/>
      <c r="H12" s="11">
        <f>HYPERLINK("https://s.click.aliexpress.com/e/_dWjW7lk","Aliexpress")</f>
        <v/>
      </c>
      <c r="I12" s="9" t="n"/>
      <c r="J12" s="9" t="n"/>
      <c r="K12" s="9" t="n"/>
      <c r="L12" s="9" t="n"/>
      <c r="M12" s="9" t="n"/>
      <c r="N12" s="9" t="n"/>
      <c r="O12" s="9" t="n"/>
      <c r="P12" s="9" t="n"/>
      <c r="Q12" s="9" t="n"/>
      <c r="R12" s="9" t="n"/>
      <c r="S12" s="9" t="n"/>
      <c r="T12" s="9" t="n"/>
      <c r="U12" s="9" t="n"/>
      <c r="V12" s="9" t="n"/>
    </row>
    <row r="13">
      <c r="A13" s="9" t="inlineStr">
        <is>
          <t>Hardware</t>
        </is>
      </c>
      <c r="B13" s="9" t="inlineStr">
        <is>
          <t>M3x16 BHCS</t>
        </is>
      </c>
      <c r="C13" s="9" t="inlineStr">
        <is>
          <t>ISO 7380-1</t>
        </is>
      </c>
      <c r="D13" s="9" t="inlineStr">
        <is>
          <t>10</t>
        </is>
      </c>
      <c r="E13" s="9" t="inlineStr">
        <is>
          <t>All</t>
        </is>
      </c>
      <c r="F13" s="10">
        <f>HYPERLINK("https://www.boltdepot.com/Metric_socket_button_head_Class_12.9_alloy_steel_black_oxide_finish_3mm_x_0.5mm.aspx","Bolt Depot")</f>
        <v/>
      </c>
      <c r="G13" s="9" t="n"/>
      <c r="H13" s="11">
        <f>HYPERLINK("https://s.click.aliexpress.com/e/_dWjW7lk","Aliexpress")</f>
        <v/>
      </c>
      <c r="I13" s="9" t="n"/>
      <c r="J13" s="9" t="n"/>
      <c r="K13" s="9" t="n"/>
      <c r="L13" s="9" t="n"/>
      <c r="M13" s="9" t="n"/>
      <c r="N13" s="9" t="n"/>
      <c r="O13" s="9" t="n"/>
      <c r="P13" s="9" t="n"/>
      <c r="Q13" s="9" t="n"/>
      <c r="R13" s="9" t="n"/>
      <c r="S13" s="9" t="n"/>
      <c r="T13" s="9" t="n"/>
      <c r="U13" s="9" t="n"/>
      <c r="V13" s="9" t="n"/>
    </row>
    <row r="14">
      <c r="A14" s="9" t="inlineStr">
        <is>
          <t>Hardware</t>
        </is>
      </c>
      <c r="B14" s="9" t="inlineStr">
        <is>
          <t>M3x25 BHCS</t>
        </is>
      </c>
      <c r="C14" s="9" t="inlineStr">
        <is>
          <t>ISO 7380-1</t>
        </is>
      </c>
      <c r="D14" s="9" t="inlineStr">
        <is>
          <t>10</t>
        </is>
      </c>
      <c r="E14" s="9" t="inlineStr">
        <is>
          <t>All</t>
        </is>
      </c>
      <c r="F14" s="10">
        <f>HYPERLINK("https://www.boltdepot.com/Product-Details.aspx?product=18942","Bolt Depot")</f>
        <v/>
      </c>
      <c r="G14" s="9" t="n"/>
      <c r="H14" s="9" t="n"/>
      <c r="I14" s="9" t="n"/>
      <c r="J14" s="9" t="n"/>
      <c r="K14" s="9" t="n"/>
      <c r="L14" s="9" t="n"/>
      <c r="M14" s="9" t="n"/>
      <c r="N14" s="9" t="n"/>
      <c r="O14" s="9" t="n"/>
      <c r="P14" s="9" t="n"/>
      <c r="Q14" s="9" t="n"/>
      <c r="R14" s="9" t="n"/>
      <c r="S14" s="9" t="n"/>
      <c r="T14" s="9" t="n"/>
      <c r="U14" s="9" t="n"/>
      <c r="V14" s="12" t="inlineStr">
        <is>
          <t>some links were dead</t>
        </is>
      </c>
    </row>
    <row r="15">
      <c r="A15" s="9" t="inlineStr">
        <is>
          <t>Hardware</t>
        </is>
      </c>
      <c r="B15" s="9" t="inlineStr">
        <is>
          <t>M3x30 BHCS</t>
        </is>
      </c>
      <c r="C15" s="9" t="inlineStr">
        <is>
          <t>ISO 7380-1</t>
        </is>
      </c>
      <c r="D15" s="9" t="inlineStr">
        <is>
          <t>10</t>
        </is>
      </c>
      <c r="E15" s="9" t="inlineStr">
        <is>
          <t>All</t>
        </is>
      </c>
      <c r="F15" s="10">
        <f>HYPERLINK("https://www.boltdepot.com/Product-Details.aspx?product=18943","Bolt Depot")</f>
        <v/>
      </c>
      <c r="G15" s="9" t="n"/>
      <c r="H15" s="11">
        <f>HYPERLINK("https://s.click.aliexpress.com/e/_dUZTaXk","Aliexpress")</f>
        <v/>
      </c>
      <c r="I15" s="9" t="n"/>
      <c r="J15" s="9" t="n"/>
      <c r="K15" s="9" t="n"/>
      <c r="L15" s="9" t="n"/>
      <c r="M15" s="9" t="n"/>
      <c r="N15" s="9" t="n"/>
      <c r="O15" s="9" t="n"/>
      <c r="P15" s="9" t="n"/>
      <c r="Q15" s="9" t="n"/>
      <c r="R15" s="9" t="n"/>
      <c r="S15" s="9" t="n"/>
      <c r="T15" s="9" t="n"/>
      <c r="U15" s="9" t="n"/>
      <c r="V15" s="9" t="n"/>
    </row>
    <row r="16">
      <c r="A16" s="9" t="inlineStr">
        <is>
          <t>Hardware</t>
        </is>
      </c>
      <c r="B16" s="9" t="inlineStr">
        <is>
          <t>M3x35 BHCS</t>
        </is>
      </c>
      <c r="C16" s="9" t="inlineStr">
        <is>
          <t>ISO 7380-1</t>
        </is>
      </c>
      <c r="D16" s="9" t="inlineStr">
        <is>
          <t>25</t>
        </is>
      </c>
      <c r="E16" s="9" t="inlineStr">
        <is>
          <t>All</t>
        </is>
      </c>
      <c r="F16" s="10">
        <f>HYPERLINK("https://www.boltdepot.com/Metric_socket_button_head_Class_12.9_alloy_steel_black_oxide_finish_3mm_x_0.5mm.aspx","Bolt Depot")</f>
        <v/>
      </c>
      <c r="G16" s="9" t="n"/>
      <c r="H16" s="9" t="n"/>
      <c r="I16" s="9" t="n"/>
      <c r="J16" s="9" t="n"/>
      <c r="K16" s="9" t="n"/>
      <c r="L16" s="9" t="n"/>
      <c r="M16" s="9" t="n"/>
      <c r="N16" s="9" t="n"/>
      <c r="O16" s="9" t="n"/>
      <c r="P16" s="9" t="n"/>
      <c r="Q16" s="9" t="n"/>
      <c r="R16" s="9" t="n"/>
      <c r="S16" s="9" t="n"/>
      <c r="T16" s="9" t="n"/>
      <c r="U16" s="9" t="n"/>
      <c r="V16" s="12" t="inlineStr">
        <is>
          <t>some links were dead</t>
        </is>
      </c>
    </row>
    <row r="17">
      <c r="A17" s="9" t="inlineStr">
        <is>
          <t>Hardware</t>
        </is>
      </c>
      <c r="B17" s="9" t="inlineStr">
        <is>
          <t>M3x40 BHCS</t>
        </is>
      </c>
      <c r="C17" s="9" t="inlineStr">
        <is>
          <t>ISO 7380-1</t>
        </is>
      </c>
      <c r="D17" s="9" t="inlineStr">
        <is>
          <t>10</t>
        </is>
      </c>
      <c r="E17" s="9" t="inlineStr">
        <is>
          <t>All</t>
        </is>
      </c>
      <c r="F17" s="10">
        <f>HYPERLINK("https://www.boltdepot.com/Product-Details.aspx?product=15294","Bolt Depot")</f>
        <v/>
      </c>
      <c r="G17" s="9" t="n"/>
      <c r="H17" s="9" t="n"/>
      <c r="I17" s="9" t="n"/>
      <c r="J17" s="9" t="n"/>
      <c r="K17" s="9" t="n"/>
      <c r="L17" s="9" t="n"/>
      <c r="M17" s="9" t="n"/>
      <c r="N17" s="9" t="n"/>
      <c r="O17" s="9" t="n"/>
      <c r="P17" s="9" t="n"/>
      <c r="Q17" s="9" t="n"/>
      <c r="R17" s="9" t="n"/>
      <c r="S17" s="9" t="n"/>
      <c r="T17" s="9" t="n"/>
      <c r="U17" s="9" t="n"/>
      <c r="V17" s="12" t="inlineStr">
        <is>
          <t>some links were dead</t>
        </is>
      </c>
    </row>
    <row r="18">
      <c r="A18" s="9" t="inlineStr">
        <is>
          <t>Fasteners</t>
        </is>
      </c>
      <c r="B18" s="9" t="inlineStr">
        <is>
          <t>M2x10 Self Tapping Screw for Plastics</t>
        </is>
      </c>
      <c r="C18" s="9" t="n"/>
      <c r="D18" s="9" t="inlineStr">
        <is>
          <t>30</t>
        </is>
      </c>
      <c r="E18" s="9" t="inlineStr">
        <is>
          <t>All</t>
        </is>
      </c>
      <c r="F18" s="10">
        <f>HYPERLINK("https://www.aliexpress.com/item/33043885403.html","Aliexpress")</f>
        <v/>
      </c>
      <c r="G18" s="9" t="n"/>
      <c r="H18" s="11">
        <f>HYPERLINK("https://www.mcmaster.com/99397A267/","McMaster-Carr (50 pack)")</f>
        <v/>
      </c>
      <c r="I18" s="9" t="n"/>
      <c r="J18" s="11">
        <f>HYPERLINK("https://amzn.to/2JFQPSK","Amazon - kit")</f>
        <v/>
      </c>
      <c r="K18" s="11">
        <f>HYPERLINK("https://s.click.aliexpress.com/e/_d6tILYa","Aliexpress")</f>
        <v/>
      </c>
      <c r="L18" s="9" t="n"/>
      <c r="M18" s="11">
        <f>HYPERLINK("https://www.amazon.com/dp/B012THLK1E","Amazon")</f>
        <v/>
      </c>
      <c r="N18" s="9" t="n"/>
      <c r="O18" s="9" t="n"/>
      <c r="P18" s="9" t="n"/>
      <c r="Q18" s="9" t="n"/>
      <c r="R18" s="9" t="n"/>
      <c r="S18" s="9" t="n"/>
      <c r="T18" s="9" t="n"/>
      <c r="U18" s="9" t="n"/>
      <c r="V18" s="9" t="n"/>
    </row>
    <row r="19">
      <c r="A19" s="9" t="inlineStr">
        <is>
          <t>Hardware</t>
        </is>
      </c>
      <c r="B19" s="9" t="inlineStr">
        <is>
          <t>Makerbeam XL M3 t-nut</t>
        </is>
      </c>
      <c r="C19" s="9" t="n"/>
      <c r="D19" s="9" t="inlineStr">
        <is>
          <t>2</t>
        </is>
      </c>
      <c r="E19" s="9" t="inlineStr">
        <is>
          <t>All</t>
        </is>
      </c>
      <c r="F19" s="10">
        <f>HYPERLINK("https://amzn.to/2UKJlnQ","Amazon")</f>
        <v/>
      </c>
      <c r="G19" s="9" t="n"/>
      <c r="H19" s="11">
        <f>HYPERLINK("https://amzn.to/2YdtWOV","Amazon [Affiliate Link]")</f>
        <v/>
      </c>
      <c r="I19" s="9" t="n"/>
      <c r="J19" s="9" t="n"/>
      <c r="K19" s="9" t="n"/>
      <c r="L19" s="9" t="n"/>
      <c r="M19" s="9" t="n"/>
      <c r="N19" s="9" t="n"/>
      <c r="O19" s="9" t="n"/>
      <c r="P19" s="9" t="n"/>
      <c r="Q19" s="9" t="n"/>
      <c r="R19" s="9" t="n"/>
      <c r="S19" s="9" t="n"/>
      <c r="T19" s="9" t="n"/>
      <c r="U19" s="13" t="inlineStr">
        <is>
          <t>you can also make these by grinding down the sides of generic openbuilds m3 t nuts</t>
        </is>
      </c>
      <c r="V19" s="12" t="inlineStr">
        <is>
          <t>some links were dead</t>
        </is>
      </c>
    </row>
    <row r="20">
      <c r="A20" s="9" t="inlineStr">
        <is>
          <t>Fasteners</t>
        </is>
      </c>
      <c r="B20" s="9" t="inlineStr">
        <is>
          <t>M3 Heat Set Insert (M3x5x4)</t>
        </is>
      </c>
      <c r="C20" s="9" t="n"/>
      <c r="D20" s="9" t="inlineStr">
        <is>
          <t>50</t>
        </is>
      </c>
      <c r="E20" s="9" t="inlineStr">
        <is>
          <t>All</t>
        </is>
      </c>
      <c r="F20" s="10">
        <f>HYPERLINK("https://www.aliexpress.com/item/4000232858343.html","Aliexpress - M3x5x4")</f>
        <v/>
      </c>
      <c r="G20" s="11">
        <f>HYPERLINK("https://s.click.aliexpress.com/e/_dW3Uprs","[Affiliate Link]")</f>
        <v/>
      </c>
      <c r="H20" s="11">
        <f>HYPERLINK("https://s.click.aliexpress.com/e/_ANjqIj","Aliexpress")</f>
        <v/>
      </c>
      <c r="I20" s="9" t="n"/>
      <c r="J20" s="11">
        <f>HYPERLINK("https://www.amazon.com/dp/B077CJV3Z9","Amazon")</f>
        <v/>
      </c>
      <c r="K20" s="11">
        <f>HYPERLINK("https://s.click.aliexpress.com/e/_dWMOd8C","Aliexpress - M3x5x4")</f>
        <v/>
      </c>
      <c r="L20" s="9" t="n"/>
      <c r="M20" s="11">
        <f>HYPERLINK("https://www.mcmaster.com/94180A331/","McMaster-Carr")</f>
        <v/>
      </c>
      <c r="N20" s="11">
        <f>HYPERLINK("https://s.click.aliexpress.com/e/_dW3Uprs","AliExpress")</f>
        <v/>
      </c>
      <c r="O20" s="9" t="n"/>
      <c r="P20" s="11">
        <f>HYPERLINK("https://cnckitchenus.store/products/made-for-voron-gewindeeinsatz-threaded-insert-m3x5x4-100-stk-pcs","CNC Kitchen")</f>
        <v/>
      </c>
      <c r="Q20" s="9" t="n"/>
      <c r="R20" s="9" t="n"/>
      <c r="S20" s="9" t="n"/>
      <c r="T20" s="9" t="n"/>
      <c r="U20" s="9" t="n"/>
      <c r="V20" s="9" t="n"/>
    </row>
    <row r="21">
      <c r="A21" s="19" t="inlineStr">
        <is>
          <t>Extruder</t>
        </is>
      </c>
      <c r="B21" s="19" t="inlineStr">
        <is>
          <t>Complete BMG Extruder Clone</t>
        </is>
      </c>
      <c r="C21" s="19" t="n"/>
      <c r="D21" s="19" t="inlineStr">
        <is>
          <t>1</t>
        </is>
      </c>
      <c r="E21" s="19" t="inlineStr">
        <is>
          <t>All</t>
        </is>
      </c>
      <c r="F21" s="20">
        <f>HYPERLINK("https://www.bondtech.se/en/product/drivegear-kits","Bondtech")</f>
        <v/>
      </c>
      <c r="G21" s="19" t="n"/>
      <c r="H21" s="21">
        <f>HYPERLINK("https://www.filastruder.com/collections/bondtech/products/drivegear-kit","Filastruder")</f>
        <v/>
      </c>
      <c r="I21" s="19" t="n"/>
      <c r="J21" s="21">
        <f>HYPERLINK("https://s.click.aliexpress.com/e/_dY14nbA","Aliexpress (TL)")</f>
        <v/>
      </c>
      <c r="K21" s="21">
        <f>HYPERLINK("https://www.aliexpress.com/item/32907327548.html","TriangleLab")</f>
        <v/>
      </c>
      <c r="L21" s="21">
        <f>HYPERLINK("https://s.click.aliexpress.com/e/5dL9AJgU","[Affiliate Link]")</f>
        <v/>
      </c>
      <c r="M21" s="21">
        <f>HYPERLINK("https://s.click.aliexpress.com/e/_AU7ik2","Aliexpress (TL)")</f>
        <v/>
      </c>
      <c r="N21" s="21">
        <f>HYPERLINK("https://www.aliexpress.com/item/4000021186440.html","Aliexpress (TL)")</f>
        <v/>
      </c>
      <c r="O21" s="21">
        <f>HYPERLINK("https://s.click.aliexpress.com/e/_Alji4k","[Affiliate Link]")</f>
        <v/>
      </c>
      <c r="P21" s="21">
        <f>HYPERLINK("https://www.aliexpress.com/item/2255799834871688.html","Aliexpress (TriangleLabs)")</f>
        <v/>
      </c>
      <c r="Q21" s="21">
        <f>HYPERLINK("https://s.click.aliexpress.com/e/_dS7fWDW","TriangleLabs")</f>
        <v/>
      </c>
      <c r="R21" s="21">
        <f>HYPERLINK("https://www.aliexpress.com/item/32947193804.html","TriangleLabs")</f>
        <v/>
      </c>
      <c r="S21" s="21">
        <f>HYPERLINK("https://www.filastruder.com/products/bondtech-bmg-internals-set?_pos=1&amp;_sid=8f05bd81a&amp;_ss=r","Filastruder")</f>
        <v/>
      </c>
      <c r="T21" s="21">
        <f>HYPERLINK("https://www.printedsolid.com/products/bondtech-bmg-extruder","Printed Solid")</f>
        <v/>
      </c>
      <c r="U21" s="19" t="n"/>
      <c r="V21" s="19" t="n"/>
    </row>
    <row r="22">
      <c r="A22" s="9" t="inlineStr">
        <is>
          <t>Hardware</t>
        </is>
      </c>
      <c r="B22" s="9" t="inlineStr">
        <is>
          <t>Thumb Screw Assembly</t>
        </is>
      </c>
      <c r="C22" s="9" t="n"/>
      <c r="D22" s="9" t="inlineStr">
        <is>
          <t>1</t>
        </is>
      </c>
      <c r="E22" s="9" t="inlineStr">
        <is>
          <t>All</t>
        </is>
      </c>
      <c r="F22" s="10">
        <f>HYPERLINK("https://www.bondtech.se/en/product/thumbscrew-assembly","Bondtech")</f>
        <v/>
      </c>
      <c r="G22" s="9" t="n"/>
      <c r="H22" s="11">
        <f>HYPERLINK("https://www.filastruder.com/collections/bondtech/products/bondtech-thumbscrew-assembly","Filastruder")</f>
        <v/>
      </c>
      <c r="I22" s="9" t="n"/>
      <c r="J22" s="11">
        <f>HYPERLINK("https://s.click.aliexpress.com/e/_dUxr46o","TriangleLabs")</f>
        <v/>
      </c>
      <c r="K22" s="11">
        <f>HYPERLINK("https://www.aliexpress.com/item/32947691813.html","TriangleLabs")</f>
        <v/>
      </c>
      <c r="L22" s="9" t="n"/>
      <c r="M22" s="9" t="n"/>
      <c r="N22" s="9" t="n"/>
      <c r="O22" s="9" t="n"/>
      <c r="P22" s="9" t="n"/>
      <c r="Q22" s="9" t="n"/>
      <c r="R22" s="9" t="n"/>
      <c r="S22" s="9" t="n"/>
      <c r="T22" s="9" t="n"/>
      <c r="U22" s="9" t="n"/>
      <c r="V22" s="9" t="n"/>
    </row>
    <row r="23">
      <c r="A23" s="19" t="inlineStr">
        <is>
          <t>Extruder</t>
        </is>
      </c>
      <c r="B23" s="19" t="inlineStr">
        <is>
          <t>Shaft/Idler Assembly</t>
        </is>
      </c>
      <c r="C23" s="19" t="n"/>
      <c r="D23" s="19" t="inlineStr">
        <is>
          <t>1</t>
        </is>
      </c>
      <c r="E23" s="19" t="inlineStr">
        <is>
          <t>All</t>
        </is>
      </c>
      <c r="F23" s="20">
        <f>HYPERLINK("https://www.bondtech.se/en/product/shaft-assembly","Bondtech")</f>
        <v/>
      </c>
      <c r="G23" s="19" t="n"/>
      <c r="H23" s="21">
        <f>HYPERLINK("https://www.filastruder.com/collections/bondtech/products/bondtech-shaft-gear-assembly","Filastruder")</f>
        <v/>
      </c>
      <c r="I23" s="19" t="n"/>
      <c r="J23" s="21">
        <f>HYPERLINK("https://s.click.aliexpress.com/e/_dXUX0B6","TriangleLabs")</f>
        <v/>
      </c>
      <c r="K23" s="21">
        <f>HYPERLINK("https://www.aliexpress.com/item/32946823004.html","TriangleLabs")</f>
        <v/>
      </c>
      <c r="L23" s="19" t="n"/>
      <c r="M23" s="19" t="n"/>
      <c r="N23" s="19" t="n"/>
      <c r="O23" s="19" t="n"/>
      <c r="P23" s="19" t="n"/>
      <c r="Q23" s="19" t="n"/>
      <c r="R23" s="19" t="n"/>
      <c r="S23" s="19" t="n"/>
      <c r="T23" s="19" t="n"/>
      <c r="U23" s="19" t="n"/>
      <c r="V23" s="19" t="n"/>
    </row>
    <row r="24">
      <c r="A24" s="19" t="inlineStr">
        <is>
          <t>Extruder</t>
        </is>
      </c>
      <c r="B24" s="19" t="inlineStr">
        <is>
          <t>Bondtech Motor Gear (bowden only)</t>
        </is>
      </c>
      <c r="C24" s="19" t="n"/>
      <c r="D24" s="19" t="inlineStr">
        <is>
          <t>1</t>
        </is>
      </c>
      <c r="E24" s="19" t="inlineStr">
        <is>
          <t>All</t>
        </is>
      </c>
      <c r="F24" s="20">
        <f>HYPERLINK("https://www.bondtech.se/en/product/motor-gear","Bondtech")</f>
        <v/>
      </c>
      <c r="G24" s="19" t="n"/>
      <c r="H24" s="21">
        <f>HYPERLINK("https://www.filastruder.com/collections/bondtech/products/bondtech-motor-gear","Filastruder")</f>
        <v/>
      </c>
      <c r="I24" s="19" t="n"/>
      <c r="J24" s="21">
        <f>HYPERLINK("https://s.click.aliexpress.com/e/_d7eKr16","TriangleLabs")</f>
        <v/>
      </c>
      <c r="K24" s="21">
        <f>HYPERLINK("https://www.aliexpress.com/item/32946695708.html","TriangleLabs")</f>
        <v/>
      </c>
      <c r="L24" s="19" t="n"/>
      <c r="M24" s="19" t="n"/>
      <c r="N24" s="19" t="n"/>
      <c r="O24" s="19" t="n"/>
      <c r="P24" s="19" t="n"/>
      <c r="Q24" s="19" t="n"/>
      <c r="R24" s="19" t="n"/>
      <c r="S24" s="19" t="n"/>
      <c r="T24" s="19" t="n"/>
      <c r="U24" s="19" t="n"/>
      <c r="V24" s="19" t="n"/>
    </row>
    <row r="25">
      <c r="A25" s="19" t="inlineStr">
        <is>
          <t>Extruder</t>
        </is>
      </c>
      <c r="B25" s="19" t="inlineStr">
        <is>
          <t>MR85 Bearing</t>
        </is>
      </c>
      <c r="C25" s="19" t="n"/>
      <c r="D25" s="19" t="inlineStr">
        <is>
          <t>2</t>
        </is>
      </c>
      <c r="E25" s="19" t="inlineStr">
        <is>
          <t>All</t>
        </is>
      </c>
      <c r="F25" s="20">
        <f>HYPERLINK("https://www.bondtech.se/en/product/ballbearing-5x8x2-5","Bondtech")</f>
        <v/>
      </c>
      <c r="G25" s="19" t="n"/>
      <c r="H25" s="21">
        <f>HYPERLINK("https://s.click.aliexpress.com/e/_dZPCzjq","TriangleLabs")</f>
        <v/>
      </c>
      <c r="I25" s="19" t="n"/>
      <c r="J25" s="19" t="n"/>
      <c r="K25" s="19" t="n"/>
      <c r="L25" s="19" t="n"/>
      <c r="M25" s="19" t="n"/>
      <c r="N25" s="19" t="n"/>
      <c r="O25" s="19" t="n"/>
      <c r="P25" s="19" t="n"/>
      <c r="Q25" s="19" t="n"/>
      <c r="R25" s="19" t="n"/>
      <c r="S25" s="19" t="n"/>
      <c r="T25" s="19" t="n"/>
      <c r="U25" s="19" t="n"/>
      <c r="V25" s="19" t="n"/>
    </row>
    <row r="26">
      <c r="A26" s="30" t="inlineStr">
        <is>
          <t>Frame</t>
        </is>
      </c>
      <c r="B26" s="30" t="inlineStr">
        <is>
          <t>Makerbeam XL 15x15 200mm</t>
        </is>
      </c>
      <c r="C26" s="30" t="n"/>
      <c r="D26" s="30" t="inlineStr">
        <is>
          <t>16</t>
        </is>
      </c>
      <c r="E26" s="30" t="inlineStr">
        <is>
          <t>All</t>
        </is>
      </c>
      <c r="F26" s="32">
        <f>HYPERLINK("https://amzn.to/3aHQ2M1","Amazon [Affiliate Link]")</f>
        <v/>
      </c>
      <c r="G26" s="30" t="n"/>
      <c r="H26" s="30" t="n"/>
      <c r="I26" s="30" t="n"/>
      <c r="J26" s="30" t="n"/>
      <c r="K26" s="30" t="n"/>
      <c r="L26" s="30" t="n"/>
      <c r="M26" s="30" t="n"/>
      <c r="N26" s="30" t="n"/>
      <c r="O26" s="30" t="n"/>
      <c r="P26" s="30" t="n"/>
      <c r="Q26" s="30" t="n"/>
      <c r="R26" s="30" t="n"/>
      <c r="S26" s="30" t="n"/>
      <c r="T26" s="30" t="n"/>
      <c r="U26" s="34" t="inlineStr">
        <is>
          <t>misumi 1515 also works</t>
        </is>
      </c>
      <c r="V26" s="31" t="inlineStr">
        <is>
          <t>some links were dead</t>
        </is>
      </c>
    </row>
    <row r="27">
      <c r="A27" s="30" t="inlineStr">
        <is>
          <t>Frame</t>
        </is>
      </c>
      <c r="B27" s="30" t="inlineStr">
        <is>
          <t>Makerbeam XL 15x15 200mm</t>
        </is>
      </c>
      <c r="C27" s="30" t="n"/>
      <c r="D27" s="30" t="inlineStr">
        <is>
          <t>4</t>
        </is>
      </c>
      <c r="E27" s="30" t="inlineStr">
        <is>
          <t>All</t>
        </is>
      </c>
      <c r="F27" s="32">
        <f>HYPERLINK("https://amzn.to/3aHQ2M1","Amazon [Affiliate Link]")</f>
        <v/>
      </c>
      <c r="G27" s="30" t="n"/>
      <c r="H27" s="30" t="n"/>
      <c r="I27" s="30" t="n"/>
      <c r="J27" s="30" t="n"/>
      <c r="K27" s="30" t="n"/>
      <c r="L27" s="30" t="n"/>
      <c r="M27" s="30" t="n"/>
      <c r="N27" s="30" t="n"/>
      <c r="O27" s="30" t="n"/>
      <c r="P27" s="30" t="n"/>
      <c r="Q27" s="30" t="n"/>
      <c r="R27" s="30" t="n"/>
      <c r="S27" s="30" t="n"/>
      <c r="T27" s="30" t="n"/>
      <c r="U27" s="34" t="inlineStr">
        <is>
          <t>misumi 1515 also works</t>
        </is>
      </c>
      <c r="V27" s="31" t="inlineStr">
        <is>
          <t>some links were dead</t>
        </is>
      </c>
    </row>
    <row r="28">
      <c r="A28" s="30" t="inlineStr">
        <is>
          <t>Frame</t>
        </is>
      </c>
      <c r="B28" s="30" t="inlineStr">
        <is>
          <t>Makerbeam XL 15x15 100mm</t>
        </is>
      </c>
      <c r="C28" s="30" t="n"/>
      <c r="D28" s="30" t="inlineStr">
        <is>
          <t>3</t>
        </is>
      </c>
      <c r="E28" s="30" t="inlineStr">
        <is>
          <t>All</t>
        </is>
      </c>
      <c r="F28" s="30" t="n"/>
      <c r="G28" s="30" t="n"/>
      <c r="H28" s="30" t="n"/>
      <c r="I28" s="30" t="n"/>
      <c r="J28" s="30" t="n"/>
      <c r="K28" s="30" t="n"/>
      <c r="L28" s="30" t="n"/>
      <c r="M28" s="30" t="n"/>
      <c r="N28" s="30" t="n"/>
      <c r="O28" s="30" t="n"/>
      <c r="P28" s="30" t="n"/>
      <c r="Q28" s="30" t="n"/>
      <c r="R28" s="30" t="n"/>
      <c r="S28" s="30" t="n"/>
      <c r="T28" s="30" t="n"/>
      <c r="U28" s="34" t="inlineStr">
        <is>
          <t>misumi 1515 also works or cut a 200mm makerbeamXL in half</t>
        </is>
      </c>
      <c r="V28" s="30" t="n"/>
    </row>
    <row r="29">
      <c r="A29" s="30" t="inlineStr">
        <is>
          <t>Frame</t>
        </is>
      </c>
      <c r="B29" s="30" t="inlineStr">
        <is>
          <t>Makerbeam XL 15x15 80-100mm</t>
        </is>
      </c>
      <c r="C29" s="30" t="n"/>
      <c r="D29" s="30" t="inlineStr">
        <is>
          <t>4</t>
        </is>
      </c>
      <c r="E29" s="30" t="inlineStr">
        <is>
          <t>All</t>
        </is>
      </c>
      <c r="F29" s="30" t="n"/>
      <c r="G29" s="30" t="n"/>
      <c r="H29" s="30" t="n"/>
      <c r="I29" s="30" t="n"/>
      <c r="J29" s="30" t="n"/>
      <c r="K29" s="30" t="n"/>
      <c r="L29" s="30" t="n"/>
      <c r="M29" s="30" t="n"/>
      <c r="N29" s="30" t="n"/>
      <c r="O29" s="30" t="n"/>
      <c r="P29" s="30" t="n"/>
      <c r="Q29" s="30" t="n"/>
      <c r="R29" s="30" t="n"/>
      <c r="S29" s="30" t="n"/>
      <c r="T29" s="30" t="n"/>
      <c r="U29" s="34" t="inlineStr">
        <is>
          <t>misumi 1515 also works</t>
        </is>
      </c>
      <c r="V29" s="30" t="n"/>
    </row>
    <row r="30">
      <c r="A30" s="24" t="inlineStr">
        <is>
          <t>Electronics</t>
        </is>
      </c>
      <c r="B30" s="24" t="inlineStr">
        <is>
          <t>Meanwell LRS-150-24</t>
        </is>
      </c>
      <c r="C30" s="24" t="n"/>
      <c r="D30" s="24" t="inlineStr">
        <is>
          <t>1</t>
        </is>
      </c>
      <c r="E30" s="24" t="inlineStr">
        <is>
          <t>All</t>
        </is>
      </c>
      <c r="F30" s="25">
        <f>HYPERLINK("https://www.mouser.com/ProductDetail/MEAN-WELL/LRS-150-24?qs=%2Fha2pyFadujaj%2F6cO0Hh6kYnnLsf9IOqcNQ0fcoOAnOylsolKT1NZQ%3D%3D","Mouser")</f>
        <v/>
      </c>
      <c r="G30" s="24" t="n"/>
      <c r="H30" s="24" t="n"/>
      <c r="I30" s="24" t="n"/>
      <c r="J30" s="24" t="n"/>
      <c r="K30" s="24" t="n"/>
      <c r="L30" s="24" t="n"/>
      <c r="M30" s="24" t="n"/>
      <c r="N30" s="24" t="n"/>
      <c r="O30" s="24" t="n"/>
      <c r="P30" s="24" t="n"/>
      <c r="Q30" s="24" t="n"/>
      <c r="R30" s="24" t="n"/>
      <c r="S30" s="24" t="n"/>
      <c r="T30" s="24" t="n"/>
      <c r="U30" s="27" t="inlineStr">
        <is>
          <t>LRS-150f-24 is also acceptable - For regions that mandate PFC use the MeanWell RSP instead of the LRS</t>
        </is>
      </c>
      <c r="V30" s="28" t="inlineStr">
        <is>
          <t>some links were dead</t>
        </is>
      </c>
    </row>
    <row r="31">
      <c r="A31" s="24" t="inlineStr">
        <is>
          <t>Electronics</t>
        </is>
      </c>
      <c r="B31" s="24" t="inlineStr">
        <is>
          <t>DC/DC PSU/buck converter - 24V to 5V</t>
        </is>
      </c>
      <c r="C31" s="24" t="n"/>
      <c r="D31" s="24" t="inlineStr">
        <is>
          <t>1</t>
        </is>
      </c>
      <c r="E31" s="24" t="inlineStr">
        <is>
          <t>All</t>
        </is>
      </c>
      <c r="F31" s="25">
        <f>HYPERLINK("https://amzn.to/2KIBNMw","Amazon [Affiliate Link]")</f>
        <v/>
      </c>
      <c r="G31" s="24" t="n"/>
      <c r="H31" s="26">
        <f>HYPERLINK("https://s.click.aliexpress.com/e/_Bfg1Siru","Aliexpress")</f>
        <v/>
      </c>
      <c r="I31" s="24" t="n"/>
      <c r="J31" s="24" t="n"/>
      <c r="K31" s="24" t="n"/>
      <c r="L31" s="24" t="n"/>
      <c r="M31" s="24" t="n"/>
      <c r="N31" s="24" t="n"/>
      <c r="O31" s="24" t="n"/>
      <c r="P31" s="24" t="n"/>
      <c r="Q31" s="24" t="n"/>
      <c r="R31" s="24" t="n"/>
      <c r="S31" s="24" t="n"/>
      <c r="T31" s="24" t="n"/>
      <c r="U31" s="27" t="inlineStr">
        <is>
          <t>Optional, you only need this if you do not have adiquate 5v source on your MCU</t>
        </is>
      </c>
      <c r="V31" s="28" t="inlineStr">
        <is>
          <t>some links were dead</t>
        </is>
      </c>
    </row>
    <row r="32">
      <c r="A32" s="24" t="inlineStr">
        <is>
          <t>Electronics</t>
        </is>
      </c>
      <c r="B32" s="24" t="inlineStr">
        <is>
          <t>Bigtreetech SKR Pico</t>
        </is>
      </c>
      <c r="C32" s="24" t="n"/>
      <c r="D32" s="24" t="inlineStr">
        <is>
          <t>1</t>
        </is>
      </c>
      <c r="E32" s="24" t="inlineStr">
        <is>
          <t>All</t>
        </is>
      </c>
      <c r="F32" s="25">
        <f>HYPERLINK("https://s.click.aliexpress.com/e/_DcyyjH5","Aliexpress")</f>
        <v/>
      </c>
      <c r="G32" s="24" t="n"/>
      <c r="H32" s="24" t="n"/>
      <c r="I32" s="24" t="n"/>
      <c r="J32" s="24" t="n"/>
      <c r="K32" s="24" t="n"/>
      <c r="L32" s="24" t="n"/>
      <c r="M32" s="24" t="n"/>
      <c r="N32" s="24" t="n"/>
      <c r="O32" s="24" t="n"/>
      <c r="P32" s="24" t="n"/>
      <c r="Q32" s="24" t="n"/>
      <c r="R32" s="24" t="n"/>
      <c r="S32" s="24" t="n"/>
      <c r="T32" s="24" t="n"/>
      <c r="U32" s="27" t="inlineStr">
        <is>
          <t>Space is a Premium</t>
        </is>
      </c>
      <c r="V32" s="28" t="inlineStr">
        <is>
          <t>some links were dead</t>
        </is>
      </c>
    </row>
    <row r="33">
      <c r="A33" s="24" t="inlineStr">
        <is>
          <t>Electronics</t>
        </is>
      </c>
      <c r="B33" s="24" t="inlineStr">
        <is>
          <t>Raspberry Pi 3</t>
        </is>
      </c>
      <c r="C33" s="24" t="n"/>
      <c r="D33" s="24" t="inlineStr">
        <is>
          <t>1</t>
        </is>
      </c>
      <c r="E33" s="24" t="inlineStr">
        <is>
          <t>All</t>
        </is>
      </c>
      <c r="F33" s="25">
        <f>HYPERLINK("https://www.adafruit.com/product/3775","Adafruit")</f>
        <v/>
      </c>
      <c r="G33" s="24" t="n"/>
      <c r="H33" s="24" t="n"/>
      <c r="I33" s="24" t="n"/>
      <c r="J33" s="24" t="n"/>
      <c r="K33" s="24" t="n"/>
      <c r="L33" s="24" t="n"/>
      <c r="M33" s="24" t="n"/>
      <c r="N33" s="24" t="n"/>
      <c r="O33" s="24" t="n"/>
      <c r="P33" s="24" t="n"/>
      <c r="Q33" s="24" t="n"/>
      <c r="R33" s="24" t="n"/>
      <c r="S33" s="24" t="n"/>
      <c r="T33" s="24" t="n"/>
      <c r="U33" s="27" t="inlineStr">
        <is>
          <t>pi3 or better, if you are running Fluid or mainsail a pi0 is enough</t>
        </is>
      </c>
      <c r="V33" s="24" t="n"/>
    </row>
    <row r="34">
      <c r="A34" s="5" t="inlineStr">
        <is>
          <t>Controller</t>
        </is>
      </c>
      <c r="B34" s="5" t="inlineStr">
        <is>
          <t>MicroSD Card</t>
        </is>
      </c>
      <c r="C34" s="5" t="n"/>
      <c r="D34" s="5" t="inlineStr">
        <is>
          <t>1</t>
        </is>
      </c>
      <c r="E34" s="5" t="inlineStr">
        <is>
          <t>All</t>
        </is>
      </c>
      <c r="F34" s="6">
        <f>HYPERLINK("https://www.amazon.com/dp/B073JYVKNX","Amazon (64gb)")</f>
        <v/>
      </c>
      <c r="G34" s="5" t="n"/>
      <c r="H34" s="7">
        <f>HYPERLINK("https://www.amazon.com/dp/B0749KG1JK","Amazon (32gb)")</f>
        <v/>
      </c>
      <c r="I34" s="5" t="n"/>
      <c r="J34" s="7">
        <f>HYPERLINK("https://amzn.to/2PDYXWX","Amazon")</f>
        <v/>
      </c>
      <c r="K34" s="5" t="n"/>
      <c r="L34" s="5" t="n"/>
      <c r="M34" s="5" t="n"/>
      <c r="N34" s="5" t="n"/>
      <c r="O34" s="5" t="n"/>
      <c r="P34" s="5" t="n"/>
      <c r="Q34" s="5" t="n"/>
      <c r="R34" s="5" t="n"/>
      <c r="S34" s="5" t="n"/>
      <c r="T34" s="5" t="n"/>
      <c r="U34" s="5" t="n"/>
      <c r="V34" s="5" t="n"/>
    </row>
    <row r="35">
      <c r="A35" s="24" t="inlineStr">
        <is>
          <t>Electronics</t>
        </is>
      </c>
      <c r="B35" s="24" t="inlineStr">
        <is>
          <t>NEMA14 Stepper Motor 40Ncm</t>
        </is>
      </c>
      <c r="C35" s="24" t="n"/>
      <c r="D35" s="24" t="inlineStr">
        <is>
          <t>2</t>
        </is>
      </c>
      <c r="E35" s="24" t="inlineStr">
        <is>
          <t>All</t>
        </is>
      </c>
      <c r="F35" s="25">
        <f>HYPERLINK("https://www.omc-stepperonline.com/nema-14-bipolar-1-8deg-40ncm-56-7oz-in-1-5a-4-2v-35x35x52mm-4-wires-14hs20-1504s","OMC Stepper")</f>
        <v/>
      </c>
      <c r="G35" s="24" t="n"/>
      <c r="H35" s="26">
        <f>HYPERLINK("https://s.click.aliexpress.com/e/_AdKnDl","Aliexpress")</f>
        <v/>
      </c>
      <c r="I35" s="24" t="n"/>
      <c r="J35" s="26">
        <f>HYPERLINK("https://www.omc-stepperonline.com/voron-v0-1-bom-of-stepper-motors-14hs20-1504s-14hr07-1004vrn-17ls13-0404e-200g-voronv01","Full Motor Kit")</f>
        <v/>
      </c>
      <c r="K35" s="24" t="n"/>
      <c r="L35" s="24" t="n"/>
      <c r="M35" s="24" t="n"/>
      <c r="N35" s="24" t="n"/>
      <c r="O35" s="24" t="n"/>
      <c r="P35" s="24" t="n"/>
      <c r="Q35" s="24" t="n"/>
      <c r="R35" s="24" t="n"/>
      <c r="S35" s="24" t="n"/>
      <c r="T35" s="24" t="n"/>
      <c r="U35" s="27" t="inlineStr">
        <is>
          <t>OMC: (14HS20-1504S) LDO:(35STH48-1684AHVRN)</t>
        </is>
      </c>
      <c r="V35" s="24" t="n"/>
    </row>
    <row r="36">
      <c r="A36" s="24" t="inlineStr">
        <is>
          <t>Electronics</t>
        </is>
      </c>
      <c r="B36" s="24" t="inlineStr">
        <is>
          <t>NEMA17 Stepper Motor with integrated lead screw 200mm T8x8</t>
        </is>
      </c>
      <c r="C36" s="24" t="n"/>
      <c r="D36" s="24" t="inlineStr">
        <is>
          <t>1</t>
        </is>
      </c>
      <c r="E36" s="24" t="inlineStr">
        <is>
          <t>All</t>
        </is>
      </c>
      <c r="F36" s="25">
        <f>HYPERLINK("https://www.omc-stepperonline.com/nema-17-external-34mm-stack-04a-lead-8mm031496-length-200mm-17ls13-0404e-200g.html","OMC Stepper")</f>
        <v/>
      </c>
      <c r="G36" s="24" t="n"/>
      <c r="H36" s="24" t="n"/>
      <c r="I36" s="24" t="n"/>
      <c r="J36" s="24" t="n"/>
      <c r="K36" s="24" t="n"/>
      <c r="L36" s="24" t="n"/>
      <c r="M36" s="24" t="n"/>
      <c r="N36" s="24" t="n"/>
      <c r="O36" s="24" t="n"/>
      <c r="P36" s="24" t="n"/>
      <c r="Q36" s="24" t="n"/>
      <c r="R36" s="24" t="n"/>
      <c r="S36" s="24" t="n"/>
      <c r="T36" s="24" t="n"/>
      <c r="U36" s="27" t="inlineStr">
        <is>
          <t>OMC: (17LS13-0404E-200G) LDO: (42STH25-1004CL200E)</t>
        </is>
      </c>
      <c r="V36" s="28" t="inlineStr">
        <is>
          <t>some links were dead</t>
        </is>
      </c>
    </row>
    <row r="37">
      <c r="A37" s="24" t="inlineStr">
        <is>
          <t>Electronics</t>
        </is>
      </c>
      <c r="B37" s="24" t="inlineStr">
        <is>
          <t>NEMA14 36mm round pancake Stepper Motor with 10 tooth spur gear (OMC 14HR07-1004VRN)</t>
        </is>
      </c>
      <c r="C37" s="24" t="n"/>
      <c r="D37" s="24" t="inlineStr">
        <is>
          <t>1</t>
        </is>
      </c>
      <c r="E37" s="24" t="inlineStr">
        <is>
          <t>All</t>
        </is>
      </c>
      <c r="F37" s="25">
        <f>HYPERLINK("https://www.omc-stepperonline.com/round-nema-14-bipolar-0-9deg-9-ncm-12-75-oz-in-1-0a-%CF%8636x17-5mm-4-wires-14hr07-1004vrn","OMC Stepper")</f>
        <v/>
      </c>
      <c r="G37" s="24" t="n"/>
      <c r="H37" s="24" t="n"/>
      <c r="I37" s="24" t="n"/>
      <c r="J37" s="24" t="n"/>
      <c r="K37" s="24" t="n"/>
      <c r="L37" s="24" t="n"/>
      <c r="M37" s="24" t="n"/>
      <c r="N37" s="24" t="n"/>
      <c r="O37" s="24" t="n"/>
      <c r="P37" s="24" t="n"/>
      <c r="Q37" s="24" t="n"/>
      <c r="R37" s="24" t="n"/>
      <c r="S37" s="24" t="n"/>
      <c r="T37" s="24" t="n"/>
      <c r="U37" s="27" t="inlineStr">
        <is>
          <t>Both the OMC and LDO stepper motor work well. Pick whichever you prefer.</t>
        </is>
      </c>
      <c r="V37" s="24" t="n"/>
    </row>
    <row r="38">
      <c r="A38" s="24" t="inlineStr">
        <is>
          <t>Electronics</t>
        </is>
      </c>
      <c r="B38" s="24" t="inlineStr">
        <is>
          <t>NEMA14 36mm round pancake Stepper Motor with 10 tooth spur gear (LDO 36STH20-1004AHG)</t>
        </is>
      </c>
      <c r="C38" s="24" t="n"/>
      <c r="D38" s="24" t="inlineStr">
        <is>
          <t>1</t>
        </is>
      </c>
      <c r="E38" s="24" t="inlineStr">
        <is>
          <t>All</t>
        </is>
      </c>
      <c r="F38" s="25">
        <f>HYPERLINK("https://s.click.aliexpress.com/e/_DBnmZ1l","Aliexpress")</f>
        <v/>
      </c>
      <c r="G38" s="24" t="n"/>
      <c r="H38" s="26">
        <f>HYPERLINK("https://s.click.aliexpress.com/e/_A2WTM8","Aliexpress")</f>
        <v/>
      </c>
      <c r="I38" s="24" t="n"/>
      <c r="J38" s="24" t="n"/>
      <c r="K38" s="24" t="n"/>
      <c r="L38" s="24" t="n"/>
      <c r="M38" s="24" t="n"/>
      <c r="N38" s="24" t="n"/>
      <c r="O38" s="24" t="n"/>
      <c r="P38" s="24" t="n"/>
      <c r="Q38" s="24" t="n"/>
      <c r="R38" s="24" t="n"/>
      <c r="S38" s="24" t="n"/>
      <c r="T38" s="24" t="n"/>
      <c r="U38" s="24" t="n"/>
      <c r="V38" s="24" t="n"/>
    </row>
    <row r="39">
      <c r="A39" s="24" t="inlineStr">
        <is>
          <t>Electronics</t>
        </is>
      </c>
      <c r="B39" s="24" t="inlineStr">
        <is>
          <t>3010 blower fans 24V</t>
        </is>
      </c>
      <c r="C39" s="24" t="n"/>
      <c r="D39" s="24" t="inlineStr">
        <is>
          <t>2</t>
        </is>
      </c>
      <c r="E39" s="24" t="inlineStr">
        <is>
          <t>All</t>
        </is>
      </c>
      <c r="F39" s="25">
        <f>HYPERLINK("https://s.click.aliexpress.com/e/_d8S7D6y","gdstime ali")</f>
        <v/>
      </c>
      <c r="G39" s="24" t="n"/>
      <c r="H39" s="26">
        <f>HYPERLINK("https://s.click.aliexpress.com/e/_DlbccTf","Aliexpress")</f>
        <v/>
      </c>
      <c r="I39" s="24" t="n"/>
      <c r="J39" s="26">
        <f>HYPERLINK("https://www.digikey.com/en/products/detail/delta-electronics/BFB0305HHA-C/11563392","Digikey (5v)")</f>
        <v/>
      </c>
      <c r="K39" s="24" t="n"/>
      <c r="L39" s="24" t="n"/>
      <c r="M39" s="24" t="n"/>
      <c r="N39" s="24" t="n"/>
      <c r="O39" s="24" t="n"/>
      <c r="P39" s="24" t="n"/>
      <c r="Q39" s="24" t="n"/>
      <c r="R39" s="24" t="n"/>
      <c r="S39" s="24" t="n"/>
      <c r="T39" s="24" t="n"/>
      <c r="U39" s="24" t="n"/>
      <c r="V39" s="24" t="n"/>
    </row>
    <row r="40">
      <c r="A40" s="24" t="inlineStr">
        <is>
          <t>Electronics</t>
        </is>
      </c>
      <c r="B40" s="24" t="inlineStr">
        <is>
          <t>3010 axial fan 24v</t>
        </is>
      </c>
      <c r="C40" s="24" t="n"/>
      <c r="D40" s="24" t="inlineStr">
        <is>
          <t>2</t>
        </is>
      </c>
      <c r="E40" s="24" t="inlineStr">
        <is>
          <t>All</t>
        </is>
      </c>
      <c r="F40" s="25">
        <f>HYPERLINK("https://s.click.aliexpress.com/e/_DkCBTgT","Aliexpress")</f>
        <v/>
      </c>
      <c r="G40" s="24" t="n"/>
      <c r="H40" s="26">
        <f>HYPERLINK("https://s.click.aliexpress.com/e/_d7Kb0ms","gdstime ali")</f>
        <v/>
      </c>
      <c r="I40" s="24" t="n"/>
      <c r="J40" s="26">
        <f>HYPERLINK("https://www.digikey.com/en/products/detail/mechatronics-fan-group/MR3010H05B1-RSR/7605851","Digikey")</f>
        <v/>
      </c>
      <c r="K40" s="24" t="n"/>
      <c r="L40" s="24" t="n"/>
      <c r="M40" s="24" t="n"/>
      <c r="N40" s="24" t="n"/>
      <c r="O40" s="24" t="n"/>
      <c r="P40" s="24" t="n"/>
      <c r="Q40" s="24" t="n"/>
      <c r="R40" s="24" t="n"/>
      <c r="S40" s="24" t="n"/>
      <c r="T40" s="24" t="n"/>
      <c r="U40" s="27" t="inlineStr">
        <is>
          <t>5v version requires a 5v power source to use, stock wiring diagrams assume 24v</t>
        </is>
      </c>
      <c r="V40" s="24" t="n"/>
    </row>
    <row r="41">
      <c r="A41" s="24" t="inlineStr">
        <is>
          <t>Electronics</t>
        </is>
      </c>
      <c r="B41" s="24" t="inlineStr">
        <is>
          <t>Omron Mouse Button - Micro Switch</t>
        </is>
      </c>
      <c r="C41" s="24" t="n"/>
      <c r="D41" s="24" t="inlineStr">
        <is>
          <t>1</t>
        </is>
      </c>
      <c r="E41" s="24" t="inlineStr">
        <is>
          <t>All</t>
        </is>
      </c>
      <c r="F41" s="25">
        <f>HYPERLINK("https://www.digikey.com/product-detail/en/omron-electronics-inc-emc-div/D2F-5L/Z8846-ND/8593137","Digikey")</f>
        <v/>
      </c>
      <c r="G41" s="24" t="n"/>
      <c r="H41" s="26">
        <f>HYPERLINK("https://www.digikey.com/en/products/detail/omron-electronics-inc-emc-div/D2F-01L/83264","Digikey")</f>
        <v/>
      </c>
      <c r="I41" s="24" t="n"/>
      <c r="J41" s="26">
        <f>HYPERLINK("https://www.digikey.com/product-detail/en/omron-electronics-inc-emc-div/D2F-5/Z8845-ND/8593136","Digikey")</f>
        <v/>
      </c>
      <c r="K41" s="24" t="n"/>
      <c r="L41" s="24" t="n"/>
      <c r="M41" s="24" t="n"/>
      <c r="N41" s="24" t="n"/>
      <c r="O41" s="24" t="n"/>
      <c r="P41" s="24" t="n"/>
      <c r="Q41" s="24" t="n"/>
      <c r="R41" s="24" t="n"/>
      <c r="S41" s="24" t="n"/>
      <c r="T41" s="24" t="n"/>
      <c r="U41" s="24" t="n"/>
      <c r="V41" s="24" t="n"/>
    </row>
    <row r="42">
      <c r="A42" s="24" t="inlineStr">
        <is>
          <t>Electronics</t>
        </is>
      </c>
      <c r="B42" s="24" t="inlineStr">
        <is>
          <t>C13 Power Cord</t>
        </is>
      </c>
      <c r="C42" s="24" t="n"/>
      <c r="D42" s="24" t="inlineStr">
        <is>
          <t>1</t>
        </is>
      </c>
      <c r="E42" s="24" t="inlineStr">
        <is>
          <t>All</t>
        </is>
      </c>
      <c r="F42" s="25">
        <f>HYPERLINK("https://www.amazon.com/dp/B072LNKHBB","Amazon")</f>
        <v/>
      </c>
      <c r="G42" s="24" t="n"/>
      <c r="H42" s="24" t="n"/>
      <c r="I42" s="24" t="n"/>
      <c r="J42" s="24" t="n"/>
      <c r="K42" s="24" t="n"/>
      <c r="L42" s="24" t="n"/>
      <c r="M42" s="24" t="n"/>
      <c r="N42" s="24" t="n"/>
      <c r="O42" s="24" t="n"/>
      <c r="P42" s="24" t="n"/>
      <c r="Q42" s="24" t="n"/>
      <c r="R42" s="24" t="n"/>
      <c r="S42" s="24" t="n"/>
      <c r="T42" s="24" t="n"/>
      <c r="U42" s="27" t="inlineStr">
        <is>
          <t>common cord found at any store that sells electronics</t>
        </is>
      </c>
      <c r="V42" s="24" t="n"/>
    </row>
    <row r="43">
      <c r="A43" s="24" t="inlineStr">
        <is>
          <t>Electronics</t>
        </is>
      </c>
      <c r="B43" s="24" t="inlineStr">
        <is>
          <t>IEC320 C14 Inlet - Push-fit - w/ Rocker Switch &amp; Fuse</t>
        </is>
      </c>
      <c r="C43" s="24" t="n"/>
      <c r="D43" s="24" t="inlineStr">
        <is>
          <t>1</t>
        </is>
      </c>
      <c r="E43" s="24" t="inlineStr">
        <is>
          <t>All</t>
        </is>
      </c>
      <c r="F43" s="25">
        <f>HYPERLINK("https://www.digikey.com/en/products/detail/adam-tech/IEC-GS-1-100/9831135","See note for PiF Digikey")</f>
        <v/>
      </c>
      <c r="G43" s="24" t="n"/>
      <c r="H43" s="24" t="n"/>
      <c r="I43" s="24" t="n"/>
      <c r="J43" s="24" t="n"/>
      <c r="K43" s="24" t="n"/>
      <c r="L43" s="24" t="n"/>
      <c r="M43" s="24" t="n"/>
      <c r="N43" s="24" t="n"/>
      <c r="O43" s="24" t="n"/>
      <c r="P43" s="24" t="n"/>
      <c r="Q43" s="24" t="n"/>
      <c r="R43" s="24" t="n"/>
      <c r="S43" s="24" t="n"/>
      <c r="T43" s="24" t="n"/>
      <c r="U43" s="24" t="n"/>
      <c r="V43" s="24" t="n"/>
    </row>
    <row r="44">
      <c r="A44" s="24" t="inlineStr">
        <is>
          <t>Electronics</t>
        </is>
      </c>
      <c r="B44" s="24" t="inlineStr">
        <is>
          <t>Fuse 2.5A 250V Holder Cartridge 5 X 20mm Glass</t>
        </is>
      </c>
      <c r="C44" s="24" t="n"/>
      <c r="D44" s="24" t="inlineStr">
        <is>
          <t>1</t>
        </is>
      </c>
      <c r="E44" s="24" t="inlineStr">
        <is>
          <t>All</t>
        </is>
      </c>
      <c r="F44" s="25">
        <f>HYPERLINK("https://www.digikey.com/en/products/detail/littelfuse-inc/061702-5MXP/5233765","Digikey")</f>
        <v/>
      </c>
      <c r="G44" s="24" t="n"/>
      <c r="H44" s="24" t="n"/>
      <c r="I44" s="24" t="n"/>
      <c r="J44" s="24" t="n"/>
      <c r="K44" s="24" t="n"/>
      <c r="L44" s="24" t="n"/>
      <c r="M44" s="24" t="n"/>
      <c r="N44" s="24" t="n"/>
      <c r="O44" s="24" t="n"/>
      <c r="P44" s="24" t="n"/>
      <c r="Q44" s="24" t="n"/>
      <c r="R44" s="24" t="n"/>
      <c r="S44" s="24" t="n"/>
      <c r="T44" s="24" t="n"/>
      <c r="U44" s="24" t="n"/>
      <c r="V44" s="24" t="n"/>
    </row>
    <row r="45">
      <c r="A45" s="24" t="inlineStr">
        <is>
          <t>Electronics</t>
        </is>
      </c>
      <c r="B45" s="24" t="inlineStr">
        <is>
          <t>E3D Revo VORON</t>
        </is>
      </c>
      <c r="C45" s="24" t="n"/>
      <c r="D45" s="24" t="inlineStr">
        <is>
          <t>1</t>
        </is>
      </c>
      <c r="E45" s="24" t="inlineStr">
        <is>
          <t>All</t>
        </is>
      </c>
      <c r="F45" s="25">
        <f>HYPERLINK("https://e3d-online.com/products/revo-voron","E3D")</f>
        <v/>
      </c>
      <c r="G45" s="24" t="n"/>
      <c r="H45" s="24" t="n"/>
      <c r="I45" s="24" t="n"/>
      <c r="J45" s="24" t="n"/>
      <c r="K45" s="24" t="n"/>
      <c r="L45" s="24" t="n"/>
      <c r="M45" s="24" t="n"/>
      <c r="N45" s="24" t="n"/>
      <c r="O45" s="24" t="n"/>
      <c r="P45" s="24" t="n"/>
      <c r="Q45" s="24" t="n"/>
      <c r="R45" s="24" t="n"/>
      <c r="S45" s="24" t="n"/>
      <c r="T45" s="24" t="n"/>
      <c r="U45" s="27" t="inlineStr">
        <is>
          <t>Refer to page 171 of the manual to find alternative, supported hotends</t>
        </is>
      </c>
      <c r="V45" s="24" t="n"/>
    </row>
    <row r="46">
      <c r="A46" s="24" t="inlineStr">
        <is>
          <t>Electronics</t>
        </is>
      </c>
      <c r="B46" s="24" t="inlineStr">
        <is>
          <t>Dragon Fly BMO Hotend</t>
        </is>
      </c>
      <c r="C46" s="24" t="n"/>
      <c r="D46" s="24" t="inlineStr">
        <is>
          <t>1</t>
        </is>
      </c>
      <c r="E46" s="24" t="inlineStr">
        <is>
          <t>All</t>
        </is>
      </c>
      <c r="F46" s="25">
        <f>HYPERLINK("https://s.click.aliexpress.com/e/_9ht8Ir","Aliexpress")</f>
        <v/>
      </c>
      <c r="G46" s="24" t="n"/>
      <c r="H46" s="24" t="n"/>
      <c r="I46" s="24" t="n"/>
      <c r="J46" s="24" t="n"/>
      <c r="K46" s="24" t="n"/>
      <c r="L46" s="24" t="n"/>
      <c r="M46" s="24" t="n"/>
      <c r="N46" s="24" t="n"/>
      <c r="O46" s="24" t="n"/>
      <c r="P46" s="24" t="n"/>
      <c r="Q46" s="24" t="n"/>
      <c r="R46" s="24" t="n"/>
      <c r="S46" s="24" t="n"/>
      <c r="T46" s="24" t="n"/>
      <c r="U46" s="24" t="n"/>
      <c r="V46" s="24" t="n"/>
    </row>
    <row r="47">
      <c r="A47" s="24" t="inlineStr">
        <is>
          <t>Electronics</t>
        </is>
      </c>
      <c r="B47" s="24" t="inlineStr">
        <is>
          <t>24V Heater Cartridge (slim wires)</t>
        </is>
      </c>
      <c r="C47" s="24" t="n"/>
      <c r="D47" s="24" t="inlineStr">
        <is>
          <t>1</t>
        </is>
      </c>
      <c r="E47" s="24" t="inlineStr">
        <is>
          <t>All</t>
        </is>
      </c>
      <c r="F47" s="25">
        <f>HYPERLINK("https://amzn.to/2VJlFAu","Amazon [Affiliate Link]")</f>
        <v/>
      </c>
      <c r="G47" s="24" t="n"/>
      <c r="H47" s="24" t="n"/>
      <c r="I47" s="24" t="n"/>
      <c r="J47" s="24" t="n"/>
      <c r="K47" s="24" t="n"/>
      <c r="L47" s="24" t="n"/>
      <c r="M47" s="24" t="n"/>
      <c r="N47" s="24" t="n"/>
      <c r="O47" s="24" t="n"/>
      <c r="P47" s="24" t="n"/>
      <c r="Q47" s="24" t="n"/>
      <c r="R47" s="24" t="n"/>
      <c r="S47" s="24" t="n"/>
      <c r="T47" s="24" t="n"/>
      <c r="U47" s="27" t="inlineStr">
        <is>
          <t>this heater cart has thin wires that can be easier to route</t>
        </is>
      </c>
      <c r="V47" s="24" t="n"/>
    </row>
    <row r="48">
      <c r="A48" s="24" t="inlineStr">
        <is>
          <t>Electronics</t>
        </is>
      </c>
      <c r="B48" s="24" t="inlineStr">
        <is>
          <t>Thermistor for your hotend of choice</t>
        </is>
      </c>
      <c r="C48" s="24" t="n"/>
      <c r="D48" s="24" t="inlineStr">
        <is>
          <t>1</t>
        </is>
      </c>
      <c r="E48" s="24" t="inlineStr">
        <is>
          <t>All</t>
        </is>
      </c>
      <c r="F48" s="25">
        <f>HYPERLINK("https://s.click.aliexpress.com/e/_dZx4X0S","Aliexpress")</f>
        <v/>
      </c>
      <c r="G48" s="24" t="n"/>
      <c r="H48" s="24" t="n"/>
      <c r="I48" s="24" t="n"/>
      <c r="J48" s="24" t="n"/>
      <c r="K48" s="24" t="n"/>
      <c r="L48" s="24" t="n"/>
      <c r="M48" s="24" t="n"/>
      <c r="N48" s="24" t="n"/>
      <c r="O48" s="24" t="n"/>
      <c r="P48" s="24" t="n"/>
      <c r="Q48" s="24" t="n"/>
      <c r="R48" s="24" t="n"/>
      <c r="S48" s="24" t="n"/>
      <c r="T48" s="24" t="n"/>
      <c r="U48" s="24" t="n"/>
      <c r="V48" s="24" t="n"/>
    </row>
    <row r="49">
      <c r="A49" s="24" t="inlineStr">
        <is>
          <t>Electronics</t>
        </is>
      </c>
      <c r="B49" s="24" t="inlineStr">
        <is>
          <t>3M 5952 VHB tape (20mm or so is good)</t>
        </is>
      </c>
      <c r="C49" s="24" t="n"/>
      <c r="D49" s="24" t="inlineStr">
        <is>
          <t>1</t>
        </is>
      </c>
      <c r="E49" s="24" t="inlineStr">
        <is>
          <t>All</t>
        </is>
      </c>
      <c r="F49" s="24" t="n"/>
      <c r="G49" s="24" t="n"/>
      <c r="H49" s="24" t="n"/>
      <c r="I49" s="24" t="n"/>
      <c r="J49" s="24" t="n"/>
      <c r="K49" s="24" t="n"/>
      <c r="L49" s="24" t="n"/>
      <c r="M49" s="24" t="n"/>
      <c r="N49" s="24" t="n"/>
      <c r="O49" s="24" t="n"/>
      <c r="P49" s="24" t="n"/>
      <c r="Q49" s="24" t="n"/>
      <c r="R49" s="24" t="n"/>
      <c r="S49" s="24" t="n"/>
      <c r="T49" s="24" t="n"/>
      <c r="U49" s="24" t="n"/>
      <c r="V49" s="28" t="inlineStr">
        <is>
          <t>all links were dead</t>
        </is>
      </c>
    </row>
    <row r="50">
      <c r="A50" s="24" t="inlineStr">
        <is>
          <t>Electronics</t>
        </is>
      </c>
      <c r="B50" s="24" t="inlineStr">
        <is>
          <t>V0-Display</t>
        </is>
      </c>
      <c r="C50" s="24" t="n"/>
      <c r="D50" s="24" t="inlineStr">
        <is>
          <t>1</t>
        </is>
      </c>
      <c r="E50" s="24" t="inlineStr">
        <is>
          <t>All</t>
        </is>
      </c>
      <c r="F50" s="25">
        <f>HYPERLINK("https://github.com/VoronDesign/Voron-Hardware/tree/master/V0_Display","Github")</f>
        <v/>
      </c>
      <c r="G50" s="24" t="n"/>
      <c r="H50" s="26">
        <f>HYPERLINK("https://s.click.aliexpress.com/e/_DnCImzZ","Aliexpress")</f>
        <v/>
      </c>
      <c r="I50" s="24" t="n"/>
      <c r="J50" s="24" t="n"/>
      <c r="K50" s="24" t="n"/>
      <c r="L50" s="24" t="n"/>
      <c r="M50" s="24" t="n"/>
      <c r="N50" s="24" t="n"/>
      <c r="O50" s="24" t="n"/>
      <c r="P50" s="24" t="n"/>
      <c r="Q50" s="24" t="n"/>
      <c r="R50" s="24" t="n"/>
      <c r="S50" s="24" t="n"/>
      <c r="T50" s="24" t="n"/>
      <c r="U50" s="24" t="n"/>
      <c r="V50" s="24" t="n"/>
    </row>
    <row r="51">
      <c r="A51" s="40" t="inlineStr">
        <is>
          <t>Cables</t>
        </is>
      </c>
      <c r="B51" s="40" t="inlineStr">
        <is>
          <t>Insulated Crimp Receptical</t>
        </is>
      </c>
      <c r="C51" s="40" t="n"/>
      <c r="D51" s="40" t="inlineStr">
        <is>
          <t>4</t>
        </is>
      </c>
      <c r="E51" s="40" t="inlineStr">
        <is>
          <t>All</t>
        </is>
      </c>
      <c r="F51" s="41">
        <f>HYPERLINK("https://www.digikey.com/products/en","Digikey")</f>
        <v/>
      </c>
      <c r="G51" s="40" t="n"/>
      <c r="H51" s="43">
        <f>HYPERLINK("https://www.digikey.com/product-detail/en/te-connectivity-amp-connectors/2-520181-2/A27804TR-ND/289246","Digikey")</f>
        <v/>
      </c>
      <c r="I51" s="40" t="n"/>
      <c r="J51" s="40" t="n"/>
      <c r="K51" s="40" t="n"/>
      <c r="L51" s="40" t="n"/>
      <c r="M51" s="40" t="n"/>
      <c r="N51" s="40" t="n"/>
      <c r="O51" s="40" t="n"/>
      <c r="P51" s="40" t="n"/>
      <c r="Q51" s="40" t="n"/>
      <c r="R51" s="40" t="n"/>
      <c r="S51" s="40" t="n"/>
      <c r="T51" s="40" t="n"/>
      <c r="U51" s="42" t="inlineStr">
        <is>
          <t>for connecting to AC power inlet</t>
        </is>
      </c>
      <c r="V51" s="40" t="n"/>
    </row>
    <row r="52">
      <c r="A52" s="40" t="inlineStr">
        <is>
          <t>Cables</t>
        </is>
      </c>
      <c r="B52" s="40" t="inlineStr">
        <is>
          <t>PTFE Wire 20gauge 10ft</t>
        </is>
      </c>
      <c r="C52" s="40" t="n"/>
      <c r="D52" s="40" t="inlineStr">
        <is>
          <t>1</t>
        </is>
      </c>
      <c r="E52" s="40" t="inlineStr">
        <is>
          <t>All</t>
        </is>
      </c>
      <c r="F52" s="40" t="n"/>
      <c r="G52" s="40" t="n"/>
      <c r="H52" s="40" t="n"/>
      <c r="I52" s="40" t="n"/>
      <c r="J52" s="40" t="n"/>
      <c r="K52" s="40" t="n"/>
      <c r="L52" s="40" t="n"/>
      <c r="M52" s="40" t="n"/>
      <c r="N52" s="40" t="n"/>
      <c r="O52" s="40" t="n"/>
      <c r="P52" s="40" t="n"/>
      <c r="Q52" s="40" t="n"/>
      <c r="R52" s="40" t="n"/>
      <c r="S52" s="40" t="n"/>
      <c r="T52" s="40" t="n"/>
      <c r="U52" s="40" t="n"/>
      <c r="V52" s="44" t="inlineStr">
        <is>
          <t>all links were dead</t>
        </is>
      </c>
    </row>
    <row r="53">
      <c r="A53" s="40" t="inlineStr">
        <is>
          <t>Cables</t>
        </is>
      </c>
      <c r="B53" s="40" t="inlineStr">
        <is>
          <t>PTFE Wire 22gauge 100ft (get 5m of 6 colors for 30m total, tin plated)</t>
        </is>
      </c>
      <c r="C53" s="40" t="n"/>
      <c r="D53" s="40" t="inlineStr">
        <is>
          <t>1</t>
        </is>
      </c>
      <c r="E53" s="40" t="inlineStr">
        <is>
          <t>All</t>
        </is>
      </c>
      <c r="F53" s="40" t="n"/>
      <c r="G53" s="40" t="n"/>
      <c r="H53" s="40" t="n"/>
      <c r="I53" s="40" t="n"/>
      <c r="J53" s="40" t="n"/>
      <c r="K53" s="40" t="n"/>
      <c r="L53" s="40" t="n"/>
      <c r="M53" s="40" t="n"/>
      <c r="N53" s="40" t="n"/>
      <c r="O53" s="40" t="n"/>
      <c r="P53" s="40" t="n"/>
      <c r="Q53" s="40" t="n"/>
      <c r="R53" s="40" t="n"/>
      <c r="S53" s="40" t="n"/>
      <c r="T53" s="40" t="n"/>
      <c r="U53" s="40" t="n"/>
      <c r="V53" s="44" t="inlineStr">
        <is>
          <t>all links were dead</t>
        </is>
      </c>
    </row>
    <row r="54">
      <c r="A54" s="40" t="inlineStr">
        <is>
          <t>Cables</t>
        </is>
      </c>
      <c r="B54" s="40" t="inlineStr">
        <is>
          <t>Wire 18gauge 10ft (individual strand length total [example: 25ft of 4p wire=100ft])</t>
        </is>
      </c>
      <c r="C54" s="40" t="n"/>
      <c r="D54" s="40" t="inlineStr">
        <is>
          <t>1</t>
        </is>
      </c>
      <c r="E54" s="40" t="inlineStr">
        <is>
          <t>All</t>
        </is>
      </c>
      <c r="F54" s="41">
        <f>HYPERLINK("https://s.click.aliexpress.com/e/_ANOyiL","Aliexpress")</f>
        <v/>
      </c>
      <c r="G54" s="40" t="n"/>
      <c r="H54" s="40" t="n"/>
      <c r="I54" s="40" t="n"/>
      <c r="J54" s="40" t="n"/>
      <c r="K54" s="40" t="n"/>
      <c r="L54" s="40" t="n"/>
      <c r="M54" s="40" t="n"/>
      <c r="N54" s="40" t="n"/>
      <c r="O54" s="40" t="n"/>
      <c r="P54" s="40" t="n"/>
      <c r="Q54" s="40" t="n"/>
      <c r="R54" s="40" t="n"/>
      <c r="S54" s="40" t="n"/>
      <c r="T54" s="40" t="n"/>
      <c r="U54" s="42" t="inlineStr">
        <is>
          <t>this wire is for mains and can be of any type as longh as it is minimum 18 gauge</t>
        </is>
      </c>
      <c r="V54" s="40" t="n"/>
    </row>
    <row r="55">
      <c r="A55" s="40" t="inlineStr">
        <is>
          <t>Cables</t>
        </is>
      </c>
      <c r="B55" s="40" t="inlineStr">
        <is>
          <t>Thermal Fuse 150C</t>
        </is>
      </c>
      <c r="C55" s="40" t="n"/>
      <c r="D55" s="40" t="inlineStr">
        <is>
          <t>1</t>
        </is>
      </c>
      <c r="E55" s="40" t="inlineStr">
        <is>
          <t>All</t>
        </is>
      </c>
      <c r="F55" s="40" t="n"/>
      <c r="G55" s="40" t="n"/>
      <c r="H55" s="40" t="n"/>
      <c r="I55" s="40" t="n"/>
      <c r="J55" s="40" t="n"/>
      <c r="K55" s="40" t="n"/>
      <c r="L55" s="40" t="n"/>
      <c r="M55" s="40" t="n"/>
      <c r="N55" s="40" t="n"/>
      <c r="O55" s="40" t="n"/>
      <c r="P55" s="40" t="n"/>
      <c r="Q55" s="40" t="n"/>
      <c r="R55" s="40" t="n"/>
      <c r="S55" s="40" t="n"/>
      <c r="T55" s="40" t="n"/>
      <c r="U55" s="40" t="n"/>
      <c r="V55" s="44" t="inlineStr">
        <is>
          <t>all links were dead</t>
        </is>
      </c>
    </row>
    <row r="56">
      <c r="A56" s="40" t="inlineStr">
        <is>
          <t>Cables</t>
        </is>
      </c>
      <c r="B56" s="40" t="inlineStr">
        <is>
          <t>JST connectors (2pin,3pin,4pin,5pin)</t>
        </is>
      </c>
      <c r="C56" s="40" t="n"/>
      <c r="D56" s="40" t="inlineStr">
        <is>
          <t>1</t>
        </is>
      </c>
      <c r="E56" s="40" t="inlineStr">
        <is>
          <t>All</t>
        </is>
      </c>
      <c r="F56" s="41">
        <f>HYPERLINK("https://amzn.to/2W3RSl6","Amazon [Affiliate Link]")</f>
        <v/>
      </c>
      <c r="G56" s="40" t="n"/>
      <c r="H56" s="40" t="n"/>
      <c r="I56" s="40" t="n"/>
      <c r="J56" s="40" t="n"/>
      <c r="K56" s="40" t="n"/>
      <c r="L56" s="40" t="n"/>
      <c r="M56" s="40" t="n"/>
      <c r="N56" s="40" t="n"/>
      <c r="O56" s="40" t="n"/>
      <c r="P56" s="40" t="n"/>
      <c r="Q56" s="40" t="n"/>
      <c r="R56" s="40" t="n"/>
      <c r="S56" s="40" t="n"/>
      <c r="T56" s="40" t="n"/>
      <c r="U56" s="40" t="n"/>
      <c r="V56" s="40" t="n"/>
    </row>
    <row r="57">
      <c r="A57" s="40" t="inlineStr">
        <is>
          <t>Cables</t>
        </is>
      </c>
      <c r="B57" s="40" t="inlineStr">
        <is>
          <t>Microfit3 Male &amp; Female Plugs</t>
        </is>
      </c>
      <c r="C57" s="40" t="n"/>
      <c r="D57" s="40" t="inlineStr">
        <is>
          <t>1</t>
        </is>
      </c>
      <c r="E57" s="40" t="inlineStr">
        <is>
          <t>All</t>
        </is>
      </c>
      <c r="F57" s="41">
        <f>HYPERLINK("https://www.digikey.com/en/products/detail/molex/0766500159/2116044","Digikey")</f>
        <v/>
      </c>
      <c r="G57" s="40" t="n"/>
      <c r="H57" s="43">
        <f>HYPERLINK("https://www.arrow.com/en/products/76650-0159/molex","Arrow")</f>
        <v/>
      </c>
      <c r="I57" s="40" t="n"/>
      <c r="J57" s="40" t="n"/>
      <c r="K57" s="40" t="n"/>
      <c r="L57" s="40" t="n"/>
      <c r="M57" s="40" t="n"/>
      <c r="N57" s="40" t="n"/>
      <c r="O57" s="40" t="n"/>
      <c r="P57" s="40" t="n"/>
      <c r="Q57" s="40" t="n"/>
      <c r="R57" s="40" t="n"/>
      <c r="S57" s="40" t="n"/>
      <c r="T57" s="40" t="n"/>
      <c r="U57" s="42" t="inlineStr">
        <is>
          <t>full kit, you dont HAVE to use a single connector use as many or as few as you want</t>
        </is>
      </c>
      <c r="V57" s="40" t="n"/>
    </row>
    <row r="58">
      <c r="A58" s="40" t="inlineStr">
        <is>
          <t>Cables</t>
        </is>
      </c>
      <c r="B58" s="40" t="inlineStr">
        <is>
          <t>7mm x 7mm cable chain (less than 1/2 meter needed)</t>
        </is>
      </c>
      <c r="C58" s="40" t="n"/>
      <c r="D58" s="40" t="inlineStr">
        <is>
          <t>1</t>
        </is>
      </c>
      <c r="E58" s="40" t="inlineStr">
        <is>
          <t>All</t>
        </is>
      </c>
      <c r="F58" s="41">
        <f>HYPERLINK("https://amzn.to/2VIUE08","Amazon [Affiliate Link]")</f>
        <v/>
      </c>
      <c r="G58" s="40" t="n"/>
      <c r="H58" s="40" t="n"/>
      <c r="I58" s="40" t="n"/>
      <c r="J58" s="40" t="n"/>
      <c r="K58" s="40" t="n"/>
      <c r="L58" s="40" t="n"/>
      <c r="M58" s="40" t="n"/>
      <c r="N58" s="40" t="n"/>
      <c r="O58" s="40" t="n"/>
      <c r="P58" s="40" t="n"/>
      <c r="Q58" s="40" t="n"/>
      <c r="R58" s="40" t="n"/>
      <c r="S58" s="40" t="n"/>
      <c r="T58" s="40" t="n"/>
      <c r="U58" s="40" t="n"/>
      <c r="V58" s="40" t="n"/>
    </row>
    <row r="59">
      <c r="A59" s="40" t="inlineStr">
        <is>
          <t>Cables</t>
        </is>
      </c>
      <c r="B59" s="40" t="inlineStr">
        <is>
          <t>2mmx100mm zip ties</t>
        </is>
      </c>
      <c r="C59" s="40" t="n"/>
      <c r="D59" s="40" t="inlineStr">
        <is>
          <t>1</t>
        </is>
      </c>
      <c r="E59" s="40" t="inlineStr">
        <is>
          <t>All</t>
        </is>
      </c>
      <c r="F59" s="41">
        <f>HYPERLINK("https://s.click.aliexpress.com/e/_99um6r","Aliexpress")</f>
        <v/>
      </c>
      <c r="G59" s="40" t="n"/>
      <c r="H59" s="40" t="n"/>
      <c r="I59" s="40" t="n"/>
      <c r="J59" s="40" t="n"/>
      <c r="K59" s="40" t="n"/>
      <c r="L59" s="40" t="n"/>
      <c r="M59" s="40" t="n"/>
      <c r="N59" s="40" t="n"/>
      <c r="O59" s="40" t="n"/>
      <c r="P59" s="40" t="n"/>
      <c r="Q59" s="40" t="n"/>
      <c r="R59" s="40" t="n"/>
      <c r="S59" s="40" t="n"/>
      <c r="T59" s="40" t="n"/>
      <c r="U59" s="40" t="n"/>
      <c r="V59" s="40" t="n"/>
    </row>
    <row r="60">
      <c r="A60" s="14" t="inlineStr">
        <is>
          <t>Motion</t>
        </is>
      </c>
      <c r="B60" s="14" t="inlineStr">
        <is>
          <t>F623-RS Bearing</t>
        </is>
      </c>
      <c r="C60" s="14" t="n"/>
      <c r="D60" s="14" t="inlineStr">
        <is>
          <t>24</t>
        </is>
      </c>
      <c r="E60" s="14" t="inlineStr">
        <is>
          <t>All</t>
        </is>
      </c>
      <c r="F60" s="15">
        <f>HYPERLINK("https://s.click.aliexpress.com/e/_AOxtwP","Aliexpress")</f>
        <v/>
      </c>
      <c r="G60" s="14" t="n"/>
      <c r="H60" s="16">
        <f>HYPERLINK("https://s.click.aliexpress.com/e/_d6E3oIC","Aliexpress")</f>
        <v/>
      </c>
      <c r="I60" s="14" t="n"/>
      <c r="J60" s="14" t="n"/>
      <c r="K60" s="14" t="n"/>
      <c r="L60" s="14" t="n"/>
      <c r="M60" s="14" t="n"/>
      <c r="N60" s="14" t="n"/>
      <c r="O60" s="14" t="n"/>
      <c r="P60" s="14" t="n"/>
      <c r="Q60" s="14" t="n"/>
      <c r="R60" s="14" t="n"/>
      <c r="S60" s="14" t="n"/>
      <c r="T60" s="14" t="n"/>
      <c r="U60" s="14" t="n"/>
      <c r="V60" s="14" t="n"/>
    </row>
    <row r="61">
      <c r="A61" s="14" t="inlineStr">
        <is>
          <t>Motion</t>
        </is>
      </c>
      <c r="B61" s="14" t="inlineStr">
        <is>
          <t>MGN7H Linear Rail with Carriage (150mm)</t>
        </is>
      </c>
      <c r="C61" s="14" t="n"/>
      <c r="D61" s="14" t="inlineStr">
        <is>
          <t>5</t>
        </is>
      </c>
      <c r="E61" s="14" t="inlineStr">
        <is>
          <t>All</t>
        </is>
      </c>
      <c r="F61" s="15">
        <f>HYPERLINK("https://www.aliexpress.com/item/32880801484.html","CNA Mechanical")</f>
        <v/>
      </c>
      <c r="G61" s="14" t="n"/>
      <c r="H61" s="14" t="n"/>
      <c r="I61" s="14" t="n"/>
      <c r="J61" s="14" t="n"/>
      <c r="K61" s="14" t="n"/>
      <c r="L61" s="14" t="n"/>
      <c r="M61" s="14" t="n"/>
      <c r="N61" s="14" t="n"/>
      <c r="O61" s="14" t="n"/>
      <c r="P61" s="14" t="n"/>
      <c r="Q61" s="14" t="n"/>
      <c r="R61" s="14" t="n"/>
      <c r="S61" s="14" t="n"/>
      <c r="T61" s="14" t="n"/>
      <c r="U61" s="17" t="inlineStr">
        <is>
          <t>CNA medium Load</t>
        </is>
      </c>
      <c r="V61" s="18" t="inlineStr">
        <is>
          <t>some links were dead</t>
        </is>
      </c>
    </row>
    <row r="62">
      <c r="A62" s="14" t="inlineStr">
        <is>
          <t>Motion</t>
        </is>
      </c>
      <c r="B62" s="14" t="inlineStr">
        <is>
          <t>GT2 20T (6mm wide) Pulley (5mm bore)</t>
        </is>
      </c>
      <c r="C62" s="14" t="n"/>
      <c r="D62" s="14" t="inlineStr">
        <is>
          <t>2</t>
        </is>
      </c>
      <c r="E62" s="14" t="inlineStr">
        <is>
          <t>All</t>
        </is>
      </c>
      <c r="F62" s="15">
        <f>HYPERLINK("https://www.aliexpress.com/item/32226562320.html","POWGE")</f>
        <v/>
      </c>
      <c r="G62" s="16">
        <f>HYPERLINK("https://s.click.aliexpress.com/e/E1Y0mkUu","[Affiliate Link]")</f>
        <v/>
      </c>
      <c r="H62" s="16">
        <f>HYPERLINK("https://s.click.aliexpress.com/e/_AqN4lx","Aliexpress")</f>
        <v/>
      </c>
      <c r="I62" s="14" t="n"/>
      <c r="J62" s="16">
        <f>HYPERLINK("https://s.click.aliexpress.com/e/E1Y0mkUu","AliExpress")</f>
        <v/>
      </c>
      <c r="K62" s="16">
        <f>HYPERLINK("https://s.click.aliexpress.com/e/_dYtoM9A","Aliexpress")</f>
        <v/>
      </c>
      <c r="L62" s="14" t="n"/>
      <c r="M62" s="14" t="n"/>
      <c r="N62" s="14" t="n"/>
      <c r="O62" s="14" t="n"/>
      <c r="P62" s="14" t="n"/>
      <c r="Q62" s="14" t="n"/>
      <c r="R62" s="14" t="n"/>
      <c r="S62" s="14" t="n"/>
      <c r="T62" s="14" t="n"/>
      <c r="U62" s="14" t="n"/>
      <c r="V62" s="14" t="n"/>
    </row>
    <row r="63">
      <c r="A63" s="14" t="inlineStr">
        <is>
          <t>Motion</t>
        </is>
      </c>
      <c r="B63" s="14" t="inlineStr">
        <is>
          <t>GT2 Open Belt 6mm (3000mm)</t>
        </is>
      </c>
      <c r="C63" s="14" t="n"/>
      <c r="D63" s="14" t="inlineStr">
        <is>
          <t>1</t>
        </is>
      </c>
      <c r="E63" s="14" t="inlineStr">
        <is>
          <t>All</t>
        </is>
      </c>
      <c r="F63" s="15">
        <f>HYPERLINK("https://s.click.aliexpress.com/e/_DBbMKkt","Aliexpress")</f>
        <v/>
      </c>
      <c r="G63" s="14" t="n"/>
      <c r="H63" s="16">
        <f>HYPERLINK("https://s.click.aliexpress.com/e/_dZ6ZPZ2","Aliexpress")</f>
        <v/>
      </c>
      <c r="I63" s="14" t="n"/>
      <c r="J63" s="14" t="n"/>
      <c r="K63" s="14" t="n"/>
      <c r="L63" s="14" t="n"/>
      <c r="M63" s="14" t="n"/>
      <c r="N63" s="14" t="n"/>
      <c r="O63" s="14" t="n"/>
      <c r="P63" s="14" t="n"/>
      <c r="Q63" s="14" t="n"/>
      <c r="R63" s="14" t="n"/>
      <c r="S63" s="14" t="n"/>
      <c r="T63" s="14" t="n"/>
      <c r="U63" s="14" t="n"/>
      <c r="V63" s="14" t="n"/>
    </row>
    <row r="64">
      <c r="A64" s="14" t="inlineStr">
        <is>
          <t>Motion</t>
        </is>
      </c>
      <c r="B64" s="14" t="inlineStr">
        <is>
          <t>T8 flange Nut 8mm Lead --anti-backlash prefered-- (SEE NOTE SECTION)</t>
        </is>
      </c>
      <c r="C64" s="14" t="n"/>
      <c r="D64" s="14" t="inlineStr">
        <is>
          <t>1</t>
        </is>
      </c>
      <c r="E64" s="14" t="inlineStr">
        <is>
          <t>All</t>
        </is>
      </c>
      <c r="F64" s="15">
        <f>HYPERLINK("https://www.amazon.com/dp/B088FPNVVF","Amazon")</f>
        <v/>
      </c>
      <c r="G64" s="14" t="n"/>
      <c r="H64" s="16">
        <f>HYPERLINK("https://s.click.aliexpress.com/e/_dSL2ALg","Aliexpress")</f>
        <v/>
      </c>
      <c r="I64" s="14" t="n"/>
      <c r="J64" s="14" t="n"/>
      <c r="K64" s="14" t="n"/>
      <c r="L64" s="14" t="n"/>
      <c r="M64" s="14" t="n"/>
      <c r="N64" s="14" t="n"/>
      <c r="O64" s="14" t="n"/>
      <c r="P64" s="14" t="n"/>
      <c r="Q64" s="14" t="n"/>
      <c r="R64" s="14" t="n"/>
      <c r="S64" s="14" t="n"/>
      <c r="T64" s="14" t="n"/>
      <c r="U64" s="17" t="inlineStr">
        <is>
          <t>anti-backlash nuts commonly come in two sizes 18mm hole spacing with a 24mmOD or a 16mm hole spacing with 22mmOD, the later will require you to add a flat to one side by hand. either option will work just make sure you print the part that matched your nut. there is a tool in the STL file to help with adding the flats to a full round nut.</t>
        </is>
      </c>
      <c r="V64" s="18" t="inlineStr">
        <is>
          <t>some links were dead</t>
        </is>
      </c>
    </row>
    <row r="65">
      <c r="A65" s="48" t="inlineStr">
        <is>
          <t>Buildplate</t>
        </is>
      </c>
      <c r="B65" s="48" t="inlineStr">
        <is>
          <t>Aluminum Build Plate (MIC6/ATP-5/Jig Plate/etc) 120x120mm (4.75inx4.75in) (1/4in or 6mm depending on whats available in your country)</t>
        </is>
      </c>
      <c r="C65" s="48" t="n"/>
      <c r="D65" s="48" t="inlineStr">
        <is>
          <t>1</t>
        </is>
      </c>
      <c r="E65" s="48" t="inlineStr">
        <is>
          <t>All</t>
        </is>
      </c>
      <c r="F65" s="49">
        <f>HYPERLINK("https://clever3d.de/epages/7a4290fc-7c7f-46cc-9b99-eadef22228e2.sf/en_US?ObjectPath=%2FShops%2F7a4290fc-7c7f-46cc-9b99-eadef22228e2%2FProducts%2FAluGuss8mm","Clever3D.de")</f>
        <v/>
      </c>
      <c r="G65" s="48" t="n"/>
      <c r="H65" s="48" t="inlineStr">
        <is>
          <t>Local material supplier</t>
        </is>
      </c>
      <c r="I65" s="48" t="n"/>
      <c r="J65" s="48" t="n"/>
      <c r="K65" s="48" t="n"/>
      <c r="L65" s="48" t="n"/>
      <c r="M65" s="48" t="n"/>
      <c r="N65" s="48" t="n"/>
      <c r="O65" s="48" t="n"/>
      <c r="P65" s="48" t="n"/>
      <c r="Q65" s="48" t="n"/>
      <c r="R65" s="48" t="n"/>
      <c r="S65" s="48" t="n"/>
      <c r="T65" s="48" t="n"/>
      <c r="U65" s="50" t="inlineStr">
        <is>
          <t>Thicker material is fine too, just keep in mind your heat up times will greatly increase and youll lose z heght for however much thicker you go</t>
        </is>
      </c>
      <c r="V65" s="48" t="n"/>
    </row>
    <row r="66">
      <c r="A66" s="48" t="inlineStr">
        <is>
          <t>Buildplate</t>
        </is>
      </c>
      <c r="B66" s="48" t="inlineStr">
        <is>
          <t>Silicone DC 24V Heater 100x100mm 60W</t>
        </is>
      </c>
      <c r="C66" s="48" t="n"/>
      <c r="D66" s="48" t="inlineStr">
        <is>
          <t>1</t>
        </is>
      </c>
      <c r="E66" s="48" t="inlineStr">
        <is>
          <t>All</t>
        </is>
      </c>
      <c r="F66" s="49">
        <f>HYPERLINK("https://keenovo.store/collections/standard-keenovo-silicone-heaters/products/keenovo-square-silicone-heater-3d-printer-build-plate-heatbed-heating-pad?variant=33194097803404","Keenovo")</f>
        <v/>
      </c>
      <c r="G66" s="48" t="n"/>
      <c r="H66" s="48" t="n"/>
      <c r="I66" s="48" t="n"/>
      <c r="J66" s="48" t="n"/>
      <c r="K66" s="48" t="n"/>
      <c r="L66" s="48" t="n"/>
      <c r="M66" s="48" t="n"/>
      <c r="N66" s="48" t="n"/>
      <c r="O66" s="48" t="n"/>
      <c r="P66" s="48" t="n"/>
      <c r="Q66" s="48" t="n"/>
      <c r="R66" s="48" t="n"/>
      <c r="S66" s="48" t="n"/>
      <c r="T66" s="48" t="n"/>
      <c r="U66" s="48" t="n"/>
      <c r="V66" s="48" t="n"/>
    </row>
    <row r="67">
      <c r="A67" s="48" t="inlineStr">
        <is>
          <t>Buildplate</t>
        </is>
      </c>
      <c r="B67" s="48" t="inlineStr">
        <is>
          <t>PEI + 3M 468P (200MP)</t>
        </is>
      </c>
      <c r="C67" s="48" t="n"/>
      <c r="D67" s="48" t="inlineStr">
        <is>
          <t>1</t>
        </is>
      </c>
      <c r="E67" s="48" t="inlineStr">
        <is>
          <t>All</t>
        </is>
      </c>
      <c r="F67" s="49">
        <f>HYPERLINK("https://catalog.cshyde.com/item/pei-ultem/int-surface-10-mil-ultem-pei-w-3m-acrylic-adhesive/36-10a-3d-9-84-12-40","CSHyde (Trim)")</f>
        <v/>
      </c>
      <c r="G67" s="48" t="n"/>
      <c r="H67" s="51">
        <f>HYPERLINK("https://catalog.cshyde.com/item/pei-ultem/int-surface-10-mil-ultem-pei-w-3m-acrylic-adhesive/36-10a-3d-12x12","CSHyde")</f>
        <v/>
      </c>
      <c r="I67" s="48" t="n"/>
      <c r="J67" s="51">
        <f>HYPERLINK("https://catalog.cshyde.com/item/pei-sheet-3d-printing-build-surface/10-mil-ultem-pei-w-3m-acrylic-adhesive/36-10a-3d-4-7x4-7","CS Hyde")</f>
        <v/>
      </c>
      <c r="K67" s="51">
        <f>HYPERLINK("https://catalog.cshyde.com/item/pei-ultem/int-surface-10-mil-ultem-pei-w-3m-acrylic-adhesive/36-10a-3d-14x14","CSHyde")</f>
        <v/>
      </c>
      <c r="L67" s="48" t="n"/>
      <c r="M67" s="48" t="n"/>
      <c r="N67" s="48" t="n"/>
      <c r="O67" s="48" t="n"/>
      <c r="P67" s="48" t="n"/>
      <c r="Q67" s="48" t="n"/>
      <c r="R67" s="48" t="n"/>
      <c r="S67" s="48" t="n"/>
      <c r="T67" s="48" t="n"/>
      <c r="U67" s="50" t="inlineStr">
        <is>
          <t>if you go with the flex plate you dont need extra PEI</t>
        </is>
      </c>
      <c r="V67" s="52" t="inlineStr">
        <is>
          <t>some links were dead</t>
        </is>
      </c>
    </row>
    <row r="68">
      <c r="A68" s="48" t="inlineStr">
        <is>
          <t>Buildplate</t>
        </is>
      </c>
      <c r="B68" s="48" t="inlineStr">
        <is>
          <t>yellow die springs 8x4x20mm</t>
        </is>
      </c>
      <c r="C68" s="48" t="n"/>
      <c r="D68" s="48" t="inlineStr">
        <is>
          <t>3</t>
        </is>
      </c>
      <c r="E68" s="48" t="inlineStr">
        <is>
          <t>All</t>
        </is>
      </c>
      <c r="F68" s="49">
        <f>HYPERLINK("https://s.click.aliexpress.com/e/_dUTJIFD","Aliexpress")</f>
        <v/>
      </c>
      <c r="G68" s="48" t="n"/>
      <c r="H68" s="51">
        <f>HYPERLINK("https://amzn.to/2KGsHzJ","Amazon [Affilaite Link]")</f>
        <v/>
      </c>
      <c r="I68" s="48" t="n"/>
      <c r="J68" s="48" t="n"/>
      <c r="K68" s="48" t="n"/>
      <c r="L68" s="48" t="n"/>
      <c r="M68" s="48" t="n"/>
      <c r="N68" s="48" t="n"/>
      <c r="O68" s="48" t="n"/>
      <c r="P68" s="48" t="n"/>
      <c r="Q68" s="48" t="n"/>
      <c r="R68" s="48" t="n"/>
      <c r="S68" s="48" t="n"/>
      <c r="T68" s="48" t="n"/>
      <c r="U68" s="48" t="n"/>
      <c r="V68" s="48" t="n"/>
    </row>
    <row r="69">
      <c r="A69" s="48" t="inlineStr">
        <is>
          <t>Buildplate</t>
        </is>
      </c>
      <c r="B69" s="48" t="inlineStr">
        <is>
          <t>Spring Steel Flex Buildplate 120x120mm (OPTIONAL)</t>
        </is>
      </c>
      <c r="C69" s="48" t="n"/>
      <c r="D69" s="48" t="inlineStr">
        <is>
          <t>1</t>
        </is>
      </c>
      <c r="E69" s="48" t="inlineStr">
        <is>
          <t>All</t>
        </is>
      </c>
      <c r="F69" s="49">
        <f>HYPERLINK("https://s.click.aliexpress.com/e/_dXbCEmC","Aliexpress")</f>
        <v/>
      </c>
      <c r="G69" s="48" t="n"/>
      <c r="H69" s="48" t="n"/>
      <c r="I69" s="48" t="n"/>
      <c r="J69" s="48" t="n"/>
      <c r="K69" s="48" t="n"/>
      <c r="L69" s="48" t="n"/>
      <c r="M69" s="48" t="n"/>
      <c r="N69" s="48" t="n"/>
      <c r="O69" s="48" t="n"/>
      <c r="P69" s="48" t="n"/>
      <c r="Q69" s="48" t="n"/>
      <c r="R69" s="48" t="n"/>
      <c r="S69" s="48" t="n"/>
      <c r="T69" s="48" t="n"/>
      <c r="U69" s="50" t="inlineStr">
        <is>
          <t>pick texture option for texture plate with smooth on opposite side, smooth option is smooth on both sides, "base" refers to the magnet which is not very good, better to buy a stronger 3rd party one</t>
        </is>
      </c>
      <c r="V69" s="48" t="n"/>
    </row>
    <row r="70">
      <c r="A70" s="48" t="inlineStr">
        <is>
          <t>Buildplate</t>
        </is>
      </c>
      <c r="B70" s="48" t="inlineStr">
        <is>
          <t>Magnetic sheet for spring steel plate 120x120 (OPTIONAL)</t>
        </is>
      </c>
      <c r="C70" s="48" t="n"/>
      <c r="D70" s="48" t="inlineStr">
        <is>
          <t>1</t>
        </is>
      </c>
      <c r="E70" s="48" t="inlineStr">
        <is>
          <t>All</t>
        </is>
      </c>
      <c r="F70" s="49">
        <f>HYPERLINK("https://www.mcmaster.com/7301T21/","Mcmaster Carr")</f>
        <v/>
      </c>
      <c r="G70" s="48" t="n"/>
      <c r="H70" s="48" t="n"/>
      <c r="I70" s="48" t="n"/>
      <c r="J70" s="48" t="n"/>
      <c r="K70" s="48" t="n"/>
      <c r="L70" s="48" t="n"/>
      <c r="M70" s="48" t="n"/>
      <c r="N70" s="48" t="n"/>
      <c r="O70" s="48" t="n"/>
      <c r="P70" s="48" t="n"/>
      <c r="Q70" s="48" t="n"/>
      <c r="R70" s="48" t="n"/>
      <c r="S70" s="48" t="n"/>
      <c r="T70" s="48" t="n"/>
      <c r="U70" s="48" t="n"/>
      <c r="V70" s="48" t="n"/>
    </row>
    <row r="71">
      <c r="A71" s="45" t="inlineStr">
        <is>
          <t>Panels</t>
        </is>
      </c>
      <c r="B71" s="45" t="inlineStr">
        <is>
          <t>Side Panel 212mm x 230mm x 3mm (PC or Acrylic)</t>
        </is>
      </c>
      <c r="C71" s="45" t="n"/>
      <c r="D71" s="45" t="inlineStr">
        <is>
          <t>2</t>
        </is>
      </c>
      <c r="E71" s="45" t="inlineStr">
        <is>
          <t>All</t>
        </is>
      </c>
      <c r="F71" s="46">
        <f>HYPERLINK("https://www.tapplastics.com/product/plastics/cut_to_size_plastic/polycarbonate_sheets/516","TAP Plastic")</f>
        <v/>
      </c>
      <c r="G71" s="45" t="n"/>
      <c r="H71" s="45" t="inlineStr">
        <is>
          <t>cut by hand per Drawings</t>
        </is>
      </c>
      <c r="I71" s="45" t="n"/>
      <c r="J71" s="45" t="n"/>
      <c r="K71" s="45" t="n"/>
      <c r="L71" s="45" t="n"/>
      <c r="M71" s="45" t="n"/>
      <c r="N71" s="45" t="n"/>
      <c r="O71" s="45" t="n"/>
      <c r="P71" s="45" t="n"/>
      <c r="Q71" s="45" t="n"/>
      <c r="R71" s="45" t="n"/>
      <c r="S71" s="45" t="n"/>
      <c r="T71" s="45" t="n"/>
      <c r="U71" s="54" t="inlineStr">
        <is>
          <t>print panel clips that match your panel thickness, if you are in between print the smaller size</t>
        </is>
      </c>
      <c r="V71" s="45" t="n"/>
    </row>
    <row r="72">
      <c r="A72" s="45" t="inlineStr">
        <is>
          <t>Panels</t>
        </is>
      </c>
      <c r="B72" s="45" t="inlineStr">
        <is>
          <t>Front Door 212mm x 239mm x 3mm (PC or Acrylic)</t>
        </is>
      </c>
      <c r="C72" s="45" t="n"/>
      <c r="D72" s="45" t="inlineStr">
        <is>
          <t>1</t>
        </is>
      </c>
      <c r="E72" s="45" t="inlineStr">
        <is>
          <t>All</t>
        </is>
      </c>
      <c r="F72" s="46">
        <f>HYPERLINK("https://www.tapplastics.com/product/plastics/cut_to_size_plastic/polycarbonate_sheets/516","TAP Plastic")</f>
        <v/>
      </c>
      <c r="G72" s="45" t="n"/>
      <c r="H72" s="45" t="inlineStr">
        <is>
          <t>cut by hand per Drawings</t>
        </is>
      </c>
      <c r="I72" s="45" t="n"/>
      <c r="J72" s="45" t="n"/>
      <c r="K72" s="45" t="n"/>
      <c r="L72" s="45" t="n"/>
      <c r="M72" s="45" t="n"/>
      <c r="N72" s="45" t="n"/>
      <c r="O72" s="45" t="n"/>
      <c r="P72" s="45" t="n"/>
      <c r="Q72" s="45" t="n"/>
      <c r="R72" s="45" t="n"/>
      <c r="S72" s="45" t="n"/>
      <c r="T72" s="45" t="n"/>
      <c r="U72" s="45" t="n"/>
      <c r="V72" s="45" t="n"/>
    </row>
    <row r="73">
      <c r="A73" s="45" t="inlineStr">
        <is>
          <t>Panels</t>
        </is>
      </c>
      <c r="B73" s="45" t="inlineStr">
        <is>
          <t>Rear Panel 212mm x 248mm (whatever material you want)</t>
        </is>
      </c>
      <c r="C73" s="45" t="n"/>
      <c r="D73" s="45" t="inlineStr">
        <is>
          <t>1</t>
        </is>
      </c>
      <c r="E73" s="45" t="inlineStr">
        <is>
          <t>All</t>
        </is>
      </c>
      <c r="F73" s="46">
        <f>HYPERLINK("https://www.tapplastics.com/product/plastics/cut_to_size_plastic/polycarbonate_sheets/516","TAP Plastic")</f>
        <v/>
      </c>
      <c r="G73" s="45" t="n"/>
      <c r="H73" s="45" t="inlineStr">
        <is>
          <t>cut by hand per Drawings</t>
        </is>
      </c>
      <c r="I73" s="45" t="n"/>
      <c r="J73" s="45" t="n"/>
      <c r="K73" s="45" t="n"/>
      <c r="L73" s="45" t="n"/>
      <c r="M73" s="45" t="n"/>
      <c r="N73" s="45" t="n"/>
      <c r="O73" s="45" t="n"/>
      <c r="P73" s="45" t="n"/>
      <c r="Q73" s="45" t="n"/>
      <c r="R73" s="45" t="n"/>
      <c r="S73" s="45" t="n"/>
      <c r="T73" s="45" t="n"/>
      <c r="U73" s="45" t="n"/>
      <c r="V73" s="45" t="n"/>
    </row>
    <row r="74">
      <c r="A74" s="45" t="inlineStr">
        <is>
          <t>Panels</t>
        </is>
      </c>
      <c r="B74" s="45" t="inlineStr">
        <is>
          <t>(Deck Panel, Mid panel, Motor Panel, Rear Panel) 3mm thick (drawings and dxf on github)</t>
        </is>
      </c>
      <c r="C74" s="45" t="n"/>
      <c r="D74" s="45" t="inlineStr">
        <is>
          <t>1</t>
        </is>
      </c>
      <c r="E74" s="45" t="inlineStr">
        <is>
          <t>All</t>
        </is>
      </c>
      <c r="F74" s="46">
        <f>HYPERLINK("https://mnlasercutting.com/","MN Laser Cutting")</f>
        <v/>
      </c>
      <c r="G74" s="45" t="n"/>
      <c r="H74" s="45" t="inlineStr">
        <is>
          <t>cut by hand per Drawings</t>
        </is>
      </c>
      <c r="I74" s="45" t="n"/>
      <c r="J74" s="45" t="n"/>
      <c r="K74" s="45" t="n"/>
      <c r="L74" s="45" t="n"/>
      <c r="M74" s="45" t="n"/>
      <c r="N74" s="45" t="n"/>
      <c r="O74" s="45" t="n"/>
      <c r="P74" s="45" t="n"/>
      <c r="Q74" s="45" t="n"/>
      <c r="R74" s="45" t="n"/>
      <c r="S74" s="45" t="n"/>
      <c r="T74" s="45" t="n"/>
      <c r="U74" s="54" t="inlineStr">
        <is>
          <t>pretty much any reasonable plastic as long as its 3mm thick. (ABS is a cheap common option) you can even print them if you want</t>
        </is>
      </c>
      <c r="V74" s="45" t="n"/>
    </row>
    <row r="75">
      <c r="A75" s="45" t="inlineStr">
        <is>
          <t>Panels</t>
        </is>
      </c>
      <c r="B75" s="45" t="inlineStr">
        <is>
          <t>TopHat Panels</t>
        </is>
      </c>
      <c r="C75" s="45" t="n"/>
      <c r="D75" s="45" t="inlineStr">
        <is>
          <t>1</t>
        </is>
      </c>
      <c r="E75" s="45" t="inlineStr">
        <is>
          <t>All</t>
        </is>
      </c>
      <c r="F75" s="46">
        <f>HYPERLINK("https://mnlasercutting.com/shop/p/voron-0-laser-cut-tophat-panels","MN Laser Cutting")</f>
        <v/>
      </c>
      <c r="G75" s="45" t="n"/>
      <c r="H75" s="45" t="inlineStr">
        <is>
          <t>cut by hand per Drawings</t>
        </is>
      </c>
      <c r="I75" s="45" t="n"/>
      <c r="J75" s="45" t="n"/>
      <c r="K75" s="45" t="n"/>
      <c r="L75" s="45" t="n"/>
      <c r="M75" s="45" t="n"/>
      <c r="N75" s="45" t="n"/>
      <c r="O75" s="45" t="n"/>
      <c r="P75" s="45" t="n"/>
      <c r="Q75" s="45" t="n"/>
      <c r="R75" s="45" t="n"/>
      <c r="S75" s="45" t="n"/>
      <c r="T75" s="45" t="n"/>
      <c r="U75" s="45" t="n"/>
      <c r="V75" s="45" t="n"/>
    </row>
    <row r="76">
      <c r="A76" s="56" t="inlineStr">
        <is>
          <t>Bowden</t>
        </is>
      </c>
      <c r="B76" s="56" t="inlineStr">
        <is>
          <t>Bowden Fitting</t>
        </is>
      </c>
      <c r="C76" s="56" t="n"/>
      <c r="D76" s="56" t="inlineStr">
        <is>
          <t>2</t>
        </is>
      </c>
      <c r="E76" s="56" t="inlineStr">
        <is>
          <t>All</t>
        </is>
      </c>
      <c r="F76" s="57">
        <f>HYPERLINK("https://s.click.aliexpress.com/e/_dZNWAU4","TriangleLab")</f>
        <v/>
      </c>
      <c r="G76" s="56" t="n"/>
      <c r="H76" s="58">
        <f>HYPERLINK("https://www.aliexpress.com/item/32934148155.html","TriangleLab")</f>
        <v/>
      </c>
      <c r="I76" s="58">
        <f>HYPERLINK("https://s.click.aliexpress.com/e/klIuTlpI","[Affiliate Link]")</f>
        <v/>
      </c>
      <c r="J76" s="56" t="n"/>
      <c r="K76" s="56" t="n"/>
      <c r="L76" s="56" t="n"/>
      <c r="M76" s="56" t="n"/>
      <c r="N76" s="56" t="n"/>
      <c r="O76" s="56" t="n"/>
      <c r="P76" s="56" t="n"/>
      <c r="Q76" s="56" t="n"/>
      <c r="R76" s="56" t="n"/>
      <c r="S76" s="56" t="n"/>
      <c r="T76" s="56" t="n"/>
      <c r="U76" s="59" t="inlineStr">
        <is>
          <t>bowden only, one for the hotend one for the Pocketwatch</t>
        </is>
      </c>
      <c r="V76" s="56" t="n"/>
    </row>
    <row r="77">
      <c r="A77" s="56" t="inlineStr">
        <is>
          <t>Bowden</t>
        </is>
      </c>
      <c r="B77" s="56" t="inlineStr">
        <is>
          <t>Bowden Tubing 4mmOD 2mmID (1 meter)</t>
        </is>
      </c>
      <c r="C77" s="56" t="n"/>
      <c r="D77" s="56" t="inlineStr">
        <is>
          <t>1</t>
        </is>
      </c>
      <c r="E77" s="56" t="inlineStr">
        <is>
          <t>All</t>
        </is>
      </c>
      <c r="F77" s="57">
        <f>HYPERLINK("https://s.click.aliexpress.com/e/_dY9tW7w","Aliexpress")</f>
        <v/>
      </c>
      <c r="G77" s="56" t="n"/>
      <c r="H77" s="58">
        <f>HYPERLINK("https://s.click.aliexpress.com/e/_DlmJrQ7","Aliexpress (4mmx3mm)")</f>
        <v/>
      </c>
      <c r="I77" s="56" t="n"/>
      <c r="J77" s="56" t="n"/>
      <c r="K77" s="56" t="n"/>
      <c r="L77" s="56" t="n"/>
      <c r="M77" s="56" t="n"/>
      <c r="N77" s="56" t="n"/>
      <c r="O77" s="56" t="n"/>
      <c r="P77" s="56" t="n"/>
      <c r="Q77" s="56" t="n"/>
      <c r="R77" s="56" t="n"/>
      <c r="S77" s="56" t="n"/>
      <c r="T77" s="56" t="n"/>
      <c r="U77" s="59" t="inlineStr">
        <is>
          <t>if you are going direct drive using 4mmODx3mmID ptfe tubing can reduce drag on the filament, if you are going bowden use 2mm ID tubing</t>
        </is>
      </c>
      <c r="V77" s="56" t="n"/>
    </row>
    <row r="78">
      <c r="A78" s="35" t="inlineStr">
        <is>
          <t>Misc</t>
        </is>
      </c>
      <c r="B78" s="35" t="inlineStr">
        <is>
          <t>Little Rubber Feet (14x11x9mm)</t>
        </is>
      </c>
      <c r="C78" s="35" t="n"/>
      <c r="D78" s="35" t="inlineStr">
        <is>
          <t>4</t>
        </is>
      </c>
      <c r="E78" s="35" t="inlineStr">
        <is>
          <t>All</t>
        </is>
      </c>
      <c r="F78" s="36">
        <f>HYPERLINK("https://s.click.aliexpress.com/e/_A8ySFU","Aliexpress")</f>
        <v/>
      </c>
      <c r="G78" s="35" t="n"/>
      <c r="H78" s="35" t="n"/>
      <c r="I78" s="35" t="n"/>
      <c r="J78" s="35" t="n"/>
      <c r="K78" s="35" t="n"/>
      <c r="L78" s="35" t="n"/>
      <c r="M78" s="35" t="n"/>
      <c r="N78" s="35" t="n"/>
      <c r="O78" s="35" t="n"/>
      <c r="P78" s="35" t="n"/>
      <c r="Q78" s="35" t="n"/>
      <c r="R78" s="35" t="n"/>
      <c r="S78" s="35" t="n"/>
      <c r="T78" s="35" t="n"/>
      <c r="U78" s="35" t="n"/>
      <c r="V78" s="35" t="n"/>
    </row>
    <row r="79">
      <c r="A79" s="35" t="inlineStr">
        <is>
          <t>Misc</t>
        </is>
      </c>
      <c r="B79" s="35" t="inlineStr">
        <is>
          <t>6mm x 3mm Round Neodymium Magnets</t>
        </is>
      </c>
      <c r="C79" s="35" t="n"/>
      <c r="D79" s="35" t="inlineStr">
        <is>
          <t>8</t>
        </is>
      </c>
      <c r="E79" s="35" t="inlineStr">
        <is>
          <t>All</t>
        </is>
      </c>
      <c r="F79" s="35" t="n"/>
      <c r="G79" s="35" t="n"/>
      <c r="H79" s="35" t="n"/>
      <c r="I79" s="35" t="n"/>
      <c r="J79" s="35" t="n"/>
      <c r="K79" s="35" t="n"/>
      <c r="L79" s="35" t="n"/>
      <c r="M79" s="35" t="n"/>
      <c r="N79" s="35" t="n"/>
      <c r="O79" s="35" t="n"/>
      <c r="P79" s="35" t="n"/>
      <c r="Q79" s="35" t="n"/>
      <c r="R79" s="35" t="n"/>
      <c r="S79" s="35" t="n"/>
      <c r="T79" s="35" t="n"/>
      <c r="U79" s="35" t="n"/>
      <c r="V79" s="38" t="inlineStr">
        <is>
          <t>all links were dead</t>
        </is>
      </c>
    </row>
    <row r="80">
      <c r="A80" s="35" t="inlineStr">
        <is>
          <t>Misc</t>
        </is>
      </c>
      <c r="B80" s="35" t="inlineStr">
        <is>
          <t>3m 5952 VHB</t>
        </is>
      </c>
      <c r="C80" s="35" t="n"/>
      <c r="D80" s="35" t="inlineStr">
        <is>
          <t>1</t>
        </is>
      </c>
      <c r="E80" s="35" t="inlineStr">
        <is>
          <t>All</t>
        </is>
      </c>
      <c r="F80" s="35" t="n"/>
      <c r="G80" s="35" t="n"/>
      <c r="H80" s="35" t="n"/>
      <c r="I80" s="35" t="n"/>
      <c r="J80" s="35" t="n"/>
      <c r="K80" s="35" t="n"/>
      <c r="L80" s="35" t="n"/>
      <c r="M80" s="35" t="n"/>
      <c r="N80" s="35" t="n"/>
      <c r="O80" s="35" t="n"/>
      <c r="P80" s="35" t="n"/>
      <c r="Q80" s="35" t="n"/>
      <c r="R80" s="35" t="n"/>
      <c r="S80" s="35" t="n"/>
      <c r="T80" s="35" t="n"/>
      <c r="U80" s="35" t="n"/>
      <c r="V80" s="38" t="inlineStr">
        <is>
          <t>all links were dead</t>
        </is>
      </c>
    </row>
    <row r="81">
      <c r="A81" s="35" t="inlineStr">
        <is>
          <t>Misc</t>
        </is>
      </c>
      <c r="B81" s="35" t="inlineStr">
        <is>
          <t>medium strength thread locker</t>
        </is>
      </c>
      <c r="C81" s="35" t="n"/>
      <c r="D81" s="35" t="inlineStr">
        <is>
          <t>1</t>
        </is>
      </c>
      <c r="E81" s="35" t="inlineStr">
        <is>
          <t>All</t>
        </is>
      </c>
      <c r="F81" s="35" t="n"/>
      <c r="G81" s="35" t="n"/>
      <c r="H81" s="35" t="n"/>
      <c r="I81" s="35" t="n"/>
      <c r="J81" s="35" t="n"/>
      <c r="K81" s="35" t="n"/>
      <c r="L81" s="35" t="n"/>
      <c r="M81" s="35" t="n"/>
      <c r="N81" s="35" t="n"/>
      <c r="O81" s="35" t="n"/>
      <c r="P81" s="35" t="n"/>
      <c r="Q81" s="35" t="n"/>
      <c r="R81" s="35" t="n"/>
      <c r="S81" s="35" t="n"/>
      <c r="T81" s="35" t="n"/>
      <c r="U81" s="35" t="n"/>
      <c r="V81" s="35" t="n"/>
    </row>
    <row r="82">
      <c r="A82" s="5" t="inlineStr">
        <is>
          <t>Printed Parts</t>
        </is>
      </c>
      <c r="B82" s="5" t="inlineStr">
        <is>
          <t>Printed Parts</t>
        </is>
      </c>
      <c r="C82" s="5" t="n"/>
      <c r="D82" s="5" t="inlineStr">
        <is>
          <t>1</t>
        </is>
      </c>
      <c r="E82" s="5" t="inlineStr">
        <is>
          <t>All</t>
        </is>
      </c>
      <c r="F82" s="6">
        <f>HYPERLINK("https://pif.voron.dev/","Print It Forward")</f>
        <v/>
      </c>
      <c r="G82" s="5" t="n"/>
      <c r="H82" s="5" t="n"/>
      <c r="I82" s="5" t="n"/>
      <c r="J82" s="5" t="n"/>
      <c r="K82" s="5" t="n"/>
      <c r="L82" s="5" t="n"/>
      <c r="M82" s="5" t="n"/>
      <c r="N82" s="5" t="n"/>
      <c r="O82" s="5" t="n"/>
      <c r="P82" s="5" t="n"/>
      <c r="Q82" s="5" t="n"/>
      <c r="R82" s="5" t="n"/>
      <c r="S82" s="5" t="n"/>
      <c r="T82" s="5" t="n"/>
      <c r="U82" s="5" t="n"/>
      <c r="V82" s="5" t="n"/>
    </row>
    <row r="83">
      <c r="A83" s="60" t="inlineStr">
        <is>
          <t>Kits</t>
        </is>
      </c>
      <c r="B83" s="61" t="inlineStr">
        <is>
          <t>Full Printer kits are availible from a number of trusted suppliers listed below</t>
        </is>
      </c>
      <c r="C83" s="60" t="n"/>
      <c r="D83" s="60" t="n"/>
      <c r="E83" s="60" t="n"/>
      <c r="F83" s="60" t="n"/>
      <c r="G83" s="60" t="n"/>
      <c r="H83" s="60" t="n"/>
      <c r="I83" s="60" t="n"/>
      <c r="J83" s="60" t="n"/>
      <c r="K83" s="60" t="n"/>
      <c r="L83" s="60" t="n"/>
      <c r="M83" s="60" t="n"/>
      <c r="N83" s="60" t="n"/>
      <c r="O83" s="60" t="n"/>
      <c r="P83" s="60" t="n"/>
      <c r="Q83" s="60" t="n"/>
      <c r="R83" s="60" t="n"/>
      <c r="S83" s="60" t="n"/>
      <c r="T83" s="60" t="n"/>
      <c r="U83" s="60" t="n"/>
      <c r="V83" s="60" t="n"/>
    </row>
    <row r="84">
      <c r="A84" s="60" t="inlineStr">
        <is>
          <t>Kits</t>
        </is>
      </c>
      <c r="B84" s="60" t="inlineStr">
        <is>
          <t>Voron V0.1 Kit - LDO</t>
        </is>
      </c>
      <c r="C84" s="60" t="n"/>
      <c r="D84" s="60" t="inlineStr">
        <is>
          <t>1</t>
        </is>
      </c>
      <c r="E84" s="60" t="inlineStr">
        <is>
          <t>All</t>
        </is>
      </c>
      <c r="F84" s="62">
        <f>HYPERLINK("https://mnlasercutting.com/shop/p/voron-zero-ldo-kit","MNLaserCutting")</f>
        <v/>
      </c>
      <c r="G84" s="60" t="n"/>
      <c r="H84" s="60" t="n"/>
      <c r="I84" s="60" t="n"/>
      <c r="J84" s="60" t="n"/>
      <c r="K84" s="60" t="n"/>
      <c r="L84" s="60" t="n"/>
      <c r="M84" s="60" t="n"/>
      <c r="N84" s="60" t="n"/>
      <c r="O84" s="60" t="n"/>
      <c r="P84" s="60" t="n"/>
      <c r="Q84" s="60" t="n"/>
      <c r="R84" s="60" t="n"/>
      <c r="S84" s="60" t="n"/>
      <c r="T84" s="60" t="n"/>
      <c r="U84" s="60" t="n"/>
      <c r="V84" s="63" t="inlineStr">
        <is>
          <t>some links were dead</t>
        </is>
      </c>
    </row>
    <row r="85">
      <c r="A85" s="60" t="inlineStr">
        <is>
          <t>Kits</t>
        </is>
      </c>
      <c r="B85" s="60" t="inlineStr">
        <is>
          <t>Voron V0.1 Kit - FYSETC</t>
        </is>
      </c>
      <c r="C85" s="60" t="n"/>
      <c r="D85" s="60" t="inlineStr">
        <is>
          <t>1</t>
        </is>
      </c>
      <c r="E85" s="60" t="inlineStr">
        <is>
          <t>All</t>
        </is>
      </c>
      <c r="F85" s="60" t="n"/>
      <c r="G85" s="60" t="n"/>
      <c r="H85" s="60" t="n"/>
      <c r="I85" s="60" t="n"/>
      <c r="J85" s="60" t="n"/>
      <c r="K85" s="60" t="n"/>
      <c r="L85" s="60" t="n"/>
      <c r="M85" s="60" t="n"/>
      <c r="N85" s="60" t="n"/>
      <c r="O85" s="60" t="n"/>
      <c r="P85" s="60" t="n"/>
      <c r="Q85" s="60" t="n"/>
      <c r="R85" s="60" t="n"/>
      <c r="S85" s="60" t="n"/>
      <c r="T85" s="60" t="n"/>
      <c r="U85" s="60" t="n"/>
      <c r="V85" s="63" t="inlineStr">
        <is>
          <t>all links were dead</t>
        </is>
      </c>
    </row>
    <row r="86">
      <c r="A86" s="60" t="inlineStr">
        <is>
          <t>Kits</t>
        </is>
      </c>
      <c r="B86" s="60" t="inlineStr">
        <is>
          <t>Voron V0.1 Kit - FORMBOT</t>
        </is>
      </c>
      <c r="C86" s="60" t="n"/>
      <c r="D86" s="60" t="inlineStr">
        <is>
          <t>1</t>
        </is>
      </c>
      <c r="E86" s="60" t="inlineStr">
        <is>
          <t>All</t>
        </is>
      </c>
      <c r="F86" s="62">
        <f>HYPERLINK("https://s.click.aliexpress.com/e/_9xE4rJ","Formbot")</f>
        <v/>
      </c>
      <c r="G86" s="60" t="n"/>
      <c r="H86" s="60" t="n"/>
      <c r="I86" s="60" t="n"/>
      <c r="J86" s="60" t="n"/>
      <c r="K86" s="60" t="n"/>
      <c r="L86" s="60" t="n"/>
      <c r="M86" s="60" t="n"/>
      <c r="N86" s="60" t="n"/>
      <c r="O86" s="60" t="n"/>
      <c r="P86" s="60" t="n"/>
      <c r="Q86" s="60" t="n"/>
      <c r="R86" s="60" t="n"/>
      <c r="S86" s="60" t="n"/>
      <c r="T86" s="60" t="n"/>
      <c r="U86" s="60" t="n"/>
      <c r="V86" s="60" t="n"/>
    </row>
    <row r="87">
      <c r="A87" s="60" t="inlineStr">
        <is>
          <t>Kits</t>
        </is>
      </c>
      <c r="B87" s="60" t="inlineStr">
        <is>
          <t>Voron V0.1 Kit - SIBOOR</t>
        </is>
      </c>
      <c r="C87" s="60" t="n"/>
      <c r="D87" s="60" t="inlineStr">
        <is>
          <t>1</t>
        </is>
      </c>
      <c r="E87" s="60" t="inlineStr">
        <is>
          <t>All</t>
        </is>
      </c>
      <c r="F87" s="60" t="n"/>
      <c r="G87" s="60" t="n"/>
      <c r="H87" s="60" t="n"/>
      <c r="I87" s="60" t="n"/>
      <c r="J87" s="60" t="n"/>
      <c r="K87" s="60" t="n"/>
      <c r="L87" s="60" t="n"/>
      <c r="M87" s="60" t="n"/>
      <c r="N87" s="60" t="n"/>
      <c r="O87" s="60" t="n"/>
      <c r="P87" s="60" t="n"/>
      <c r="Q87" s="60" t="n"/>
      <c r="R87" s="60" t="n"/>
      <c r="S87" s="60" t="n"/>
      <c r="T87" s="60" t="n"/>
      <c r="U87" s="60" t="n"/>
      <c r="V87" s="63" t="inlineStr">
        <is>
          <t>all links were dead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92"/>
  <sheetViews>
    <sheetView workbookViewId="0">
      <pane ySplit="1" topLeftCell="A2" activePane="bottomLeft" state="frozen"/>
      <selection pane="bottomLeft" activeCell="A1" sqref="A1"/>
    </sheetView>
  </sheetViews>
  <sheetFormatPr baseColWidth="8" defaultRowHeight="15"/>
  <cols>
    <col width="19.9" customWidth="1" min="1" max="1"/>
    <col width="34.5" customWidth="1" min="2" max="2"/>
    <col width="17.1" customWidth="1" min="3" max="3"/>
    <col width="7" customWidth="1" min="4" max="4"/>
    <col width="8.5" customWidth="1" min="5" max="5"/>
    <col width="20" customWidth="1" min="6" max="6"/>
    <col width="15" customWidth="1" min="7" max="7"/>
    <col width="20" customWidth="1" min="8" max="8"/>
    <col width="15" customWidth="1" min="9" max="9"/>
    <col width="20" customWidth="1" min="10" max="10"/>
    <col width="15" customWidth="1" min="11" max="11"/>
    <col width="20" customWidth="1" min="12" max="12"/>
    <col width="20" customWidth="1" min="13" max="13"/>
    <col width="20" customWidth="1" min="14" max="14"/>
    <col width="20" customWidth="1" min="15" max="15"/>
    <col width="90" customWidth="1" min="16" max="16"/>
    <col width="20" customWidth="1" min="17" max="17"/>
  </cols>
  <sheetData>
    <row r="1">
      <c r="A1" s="3" t="inlineStr">
        <is>
          <t>Category</t>
        </is>
      </c>
      <c r="B1" s="3" t="inlineStr">
        <is>
          <t>Component</t>
        </is>
      </c>
      <c r="C1" s="3" t="inlineStr">
        <is>
          <t>Standard</t>
        </is>
      </c>
      <c r="D1" s="3" t="inlineStr">
        <is>
          <t>Qty</t>
        </is>
      </c>
      <c r="E1" s="3" t="inlineStr">
        <is>
          <t>Size</t>
        </is>
      </c>
      <c r="F1" s="4" t="inlineStr">
        <is>
          <t>Recommended</t>
        </is>
      </c>
      <c r="G1" s="3" t="inlineStr"/>
      <c r="H1" s="4" t="inlineStr">
        <is>
          <t>Alternative Source</t>
        </is>
      </c>
      <c r="I1" s="3" t="inlineStr"/>
      <c r="J1" s="4" t="inlineStr">
        <is>
          <t>Alternative Source 2</t>
        </is>
      </c>
      <c r="K1" s="3" t="inlineStr"/>
      <c r="L1" s="4" t="inlineStr">
        <is>
          <t>Alternative Source 3</t>
        </is>
      </c>
      <c r="M1" s="4" t="inlineStr">
        <is>
          <t>Alternative Source 4</t>
        </is>
      </c>
      <c r="N1" s="4" t="inlineStr">
        <is>
          <t>Alternative Source 5</t>
        </is>
      </c>
      <c r="O1" s="4" t="inlineStr">
        <is>
          <t>Alternative Source 6</t>
        </is>
      </c>
      <c r="P1" s="3" t="inlineStr">
        <is>
          <t>Notes</t>
        </is>
      </c>
      <c r="Q1" s="3" t="inlineStr">
        <is>
          <t>Link check</t>
        </is>
      </c>
    </row>
    <row r="2">
      <c r="A2" s="5" t="inlineStr">
        <is>
          <t>Filament</t>
        </is>
      </c>
      <c r="B2" s="5" t="inlineStr">
        <is>
          <t>Primary Color (Black)</t>
        </is>
      </c>
      <c r="C2" s="5" t="n"/>
      <c r="D2" s="5" t="inlineStr">
        <is>
          <t>1</t>
        </is>
      </c>
      <c r="E2" s="5" t="inlineStr">
        <is>
          <t>All</t>
        </is>
      </c>
      <c r="F2" s="6">
        <f>HYPERLINK("https://www.paramount-3d.com/product-page/absblack","Paramount ABS")</f>
        <v/>
      </c>
      <c r="G2" s="7">
        <f>HYPERLINK("https://amzn.to/2nb63qR","[Affiliate Link]")</f>
        <v/>
      </c>
      <c r="H2" s="5" t="n"/>
      <c r="I2" s="5" t="n"/>
      <c r="J2" s="5" t="n"/>
      <c r="K2" s="5" t="n"/>
      <c r="L2" s="5" t="n"/>
      <c r="M2" s="5" t="n"/>
      <c r="N2" s="5" t="n"/>
      <c r="O2" s="5" t="n"/>
      <c r="P2" s="8" t="inlineStr">
        <is>
          <t>MakeShaper ABS</t>
        </is>
      </c>
      <c r="Q2" s="5" t="n"/>
    </row>
    <row r="3">
      <c r="A3" s="5" t="inlineStr">
        <is>
          <t>Filament</t>
        </is>
      </c>
      <c r="B3" s="5" t="inlineStr">
        <is>
          <t>Secondary Color (Red)</t>
        </is>
      </c>
      <c r="C3" s="5" t="n"/>
      <c r="D3" s="5" t="inlineStr">
        <is>
          <t>1</t>
        </is>
      </c>
      <c r="E3" s="5" t="inlineStr">
        <is>
          <t>All</t>
        </is>
      </c>
      <c r="F3" s="6">
        <f>HYPERLINK("https://www.paramount-3d.com/product-page/abs-pantone-enzo-red-485c-1-75mm-1kg-filament-trrl3020485c","Paramount ABS")</f>
        <v/>
      </c>
      <c r="G3" s="7">
        <f>HYPERLINK("https://amzn.to/2lqEYQ1","[Affiliate Link]")</f>
        <v/>
      </c>
      <c r="H3" s="7">
        <f>HYPERLINK("https://www.amazon.com/dp/B00J0HB1YI","Hatchbox ABS")</f>
        <v/>
      </c>
      <c r="I3" s="7">
        <f>HYPERLINK("https://amzn.to/2ltf8Lj","[Affiliate Link]")</f>
        <v/>
      </c>
      <c r="J3" s="5" t="n"/>
      <c r="K3" s="5" t="n"/>
      <c r="L3" s="5" t="n"/>
      <c r="M3" s="5" t="n"/>
      <c r="N3" s="5" t="n"/>
      <c r="O3" s="5" t="n"/>
      <c r="P3" s="8" t="inlineStr">
        <is>
          <t>MakeShaper ABS</t>
        </is>
      </c>
      <c r="Q3" s="5" t="n"/>
    </row>
    <row r="4">
      <c r="A4" s="5" t="inlineStr">
        <is>
          <t>Printed Parts</t>
        </is>
      </c>
      <c r="B4" s="5" t="inlineStr">
        <is>
          <t>Printed Parts</t>
        </is>
      </c>
      <c r="C4" s="5" t="n"/>
      <c r="D4" s="5" t="inlineStr">
        <is>
          <t>1</t>
        </is>
      </c>
      <c r="E4" s="5" t="inlineStr">
        <is>
          <t>All</t>
        </is>
      </c>
      <c r="F4" s="6">
        <f>HYPERLINK("https://pif.voron.dev/","Print It Forward")</f>
        <v/>
      </c>
      <c r="G4" s="5" t="n"/>
      <c r="H4" s="5" t="n"/>
      <c r="I4" s="5" t="n"/>
      <c r="J4" s="5" t="n"/>
      <c r="K4" s="5" t="n"/>
      <c r="L4" s="5" t="n"/>
      <c r="M4" s="5" t="n"/>
      <c r="N4" s="5" t="n"/>
      <c r="O4" s="5" t="n"/>
      <c r="P4" s="5" t="n"/>
      <c r="Q4" s="5" t="n"/>
    </row>
    <row r="5">
      <c r="A5" s="9" t="inlineStr">
        <is>
          <t>Fasteners</t>
        </is>
      </c>
      <c r="B5" s="9" t="inlineStr">
        <is>
          <t>M8x16 BHCS</t>
        </is>
      </c>
      <c r="C5" s="9" t="inlineStr">
        <is>
          <t>ISO 7380</t>
        </is>
      </c>
      <c r="D5" s="9" t="inlineStr">
        <is>
          <t>8</t>
        </is>
      </c>
      <c r="E5" s="9" t="inlineStr">
        <is>
          <t>All</t>
        </is>
      </c>
      <c r="F5" s="10">
        <f>HYPERLINK("https://www.mcmaster.com/91239A418/","McMaster-Carr (25 pack)")</f>
        <v/>
      </c>
      <c r="G5" s="9" t="n"/>
      <c r="H5" s="9" t="n"/>
      <c r="I5" s="9" t="n"/>
      <c r="J5" s="9" t="n"/>
      <c r="K5" s="9" t="n"/>
      <c r="L5" s="9" t="n"/>
      <c r="M5" s="9" t="n"/>
      <c r="N5" s="9" t="n"/>
      <c r="O5" s="9" t="n"/>
      <c r="P5" s="9" t="n"/>
      <c r="Q5" s="9" t="n"/>
    </row>
    <row r="6">
      <c r="A6" s="9" t="inlineStr">
        <is>
          <t>Fasteners</t>
        </is>
      </c>
      <c r="B6" s="9" t="inlineStr">
        <is>
          <t>M5x40 SHCS</t>
        </is>
      </c>
      <c r="C6" s="9" t="inlineStr">
        <is>
          <t>ISO 4762 / DIN 912</t>
        </is>
      </c>
      <c r="D6" s="9" t="inlineStr">
        <is>
          <t>6</t>
        </is>
      </c>
      <c r="E6" s="9" t="inlineStr">
        <is>
          <t>All</t>
        </is>
      </c>
      <c r="F6" s="10">
        <f>HYPERLINK("https://www.boltdepot.com/Product-Details.aspx?product=6527","Bolt Depot")</f>
        <v/>
      </c>
      <c r="G6" s="9" t="n"/>
      <c r="H6" s="11">
        <f>HYPERLINK("https://www.mcmaster.com/91290A196/","McMaster-Carr (10 pack)")</f>
        <v/>
      </c>
      <c r="I6" s="9" t="n"/>
      <c r="J6" s="9" t="n"/>
      <c r="K6" s="9" t="n"/>
      <c r="L6" s="9" t="n"/>
      <c r="M6" s="9" t="n"/>
      <c r="N6" s="9" t="n"/>
      <c r="O6" s="9" t="n"/>
      <c r="P6" s="9" t="n"/>
      <c r="Q6" s="9" t="n"/>
    </row>
    <row r="7">
      <c r="A7" s="9" t="inlineStr">
        <is>
          <t>Fasteners</t>
        </is>
      </c>
      <c r="B7" s="9" t="inlineStr">
        <is>
          <t>M5x30 BHCS</t>
        </is>
      </c>
      <c r="C7" s="9" t="inlineStr">
        <is>
          <t>ISO 7380-1</t>
        </is>
      </c>
      <c r="D7" s="9" t="inlineStr">
        <is>
          <t>5</t>
        </is>
      </c>
      <c r="E7" s="9" t="inlineStr">
        <is>
          <t>All</t>
        </is>
      </c>
      <c r="F7" s="10">
        <f>HYPERLINK("https://www.boltdepot.com/Product-Details.aspx?product=15651","Bolt Depot")</f>
        <v/>
      </c>
      <c r="G7" s="9" t="n"/>
      <c r="H7" s="11">
        <f>HYPERLINK("https://www.boltdepot.com/Product-Details.aspx?product=13348","Bolt Depot")</f>
        <v/>
      </c>
      <c r="I7" s="9" t="n"/>
      <c r="J7" s="11">
        <f>HYPERLINK("https://www.mcmaster.com/91239A236/","McMaster-Carr (100 pack)")</f>
        <v/>
      </c>
      <c r="K7" s="9" t="n"/>
      <c r="L7" s="9" t="n"/>
      <c r="M7" s="9" t="n"/>
      <c r="N7" s="9" t="n"/>
      <c r="O7" s="9" t="n"/>
      <c r="P7" s="9" t="n"/>
      <c r="Q7" s="9" t="n"/>
    </row>
    <row r="8">
      <c r="A8" s="9" t="inlineStr">
        <is>
          <t>Fasteners</t>
        </is>
      </c>
      <c r="B8" s="9" t="inlineStr">
        <is>
          <t>M5x16 BHCS</t>
        </is>
      </c>
      <c r="C8" s="9" t="inlineStr">
        <is>
          <t>ISO 7380-1</t>
        </is>
      </c>
      <c r="D8" s="9" t="inlineStr">
        <is>
          <t>12</t>
        </is>
      </c>
      <c r="E8" s="9" t="inlineStr">
        <is>
          <t>All</t>
        </is>
      </c>
      <c r="F8" s="10">
        <f>HYPERLINK("https://www.boltdepot.com/Product-Details.aspx?product=15648","Bolt Depot")</f>
        <v/>
      </c>
      <c r="G8" s="9" t="n"/>
      <c r="H8" s="11">
        <f>HYPERLINK("https://www.boltdepot.com/Product-Details.aspx?product=13345","Bolt Depot")</f>
        <v/>
      </c>
      <c r="I8" s="9" t="n"/>
      <c r="J8" s="11">
        <f>HYPERLINK("https://www.mcmaster.com/91239A232/","McMaster-Carr (100 pack)")</f>
        <v/>
      </c>
      <c r="K8" s="9" t="n"/>
      <c r="L8" s="9" t="n"/>
      <c r="M8" s="9" t="n"/>
      <c r="N8" s="9" t="n"/>
      <c r="O8" s="9" t="n"/>
      <c r="P8" s="9" t="n"/>
      <c r="Q8" s="9" t="n"/>
    </row>
    <row r="9">
      <c r="A9" s="9" t="inlineStr">
        <is>
          <t>Fasteners</t>
        </is>
      </c>
      <c r="B9" s="9" t="inlineStr">
        <is>
          <t>M5x10 BHCS</t>
        </is>
      </c>
      <c r="C9" s="9" t="inlineStr">
        <is>
          <t>ISO 7380-1</t>
        </is>
      </c>
      <c r="D9" s="9" t="inlineStr">
        <is>
          <t>50</t>
        </is>
      </c>
      <c r="E9" s="9" t="inlineStr">
        <is>
          <t>All</t>
        </is>
      </c>
      <c r="F9" s="10">
        <f>HYPERLINK("https://www.boltdepot.com/Product-Details.aspx?product=15646","Bolt Depot")</f>
        <v/>
      </c>
      <c r="G9" s="9" t="n"/>
      <c r="H9" s="11">
        <f>HYPERLINK("https://www.boltdepot.com/Product-Details.aspx?product=13343","Bolt Depot")</f>
        <v/>
      </c>
      <c r="I9" s="9" t="n"/>
      <c r="J9" s="11">
        <f>HYPERLINK("https://www.mcmaster.com/91239A224/","McMaster-Carr (100 pack)")</f>
        <v/>
      </c>
      <c r="K9" s="9" t="n"/>
      <c r="L9" s="9" t="n"/>
      <c r="M9" s="9" t="n"/>
      <c r="N9" s="9" t="n"/>
      <c r="O9" s="9" t="n"/>
      <c r="P9" s="9" t="n"/>
      <c r="Q9" s="9" t="n"/>
    </row>
    <row r="10">
      <c r="A10" s="9" t="inlineStr">
        <is>
          <t>Fasteners</t>
        </is>
      </c>
      <c r="B10" s="9" t="inlineStr">
        <is>
          <t>M4x8 BHCS</t>
        </is>
      </c>
      <c r="C10" s="9" t="inlineStr">
        <is>
          <t>ISO 7380-1</t>
        </is>
      </c>
      <c r="D10" s="9" t="inlineStr">
        <is>
          <t>4</t>
        </is>
      </c>
      <c r="E10" s="9" t="inlineStr">
        <is>
          <t>All</t>
        </is>
      </c>
      <c r="F10" s="10">
        <f>HYPERLINK("https://www.mcmaster.com/91239A140/","McMaster-Carr (100 pack)")</f>
        <v/>
      </c>
      <c r="G10" s="9" t="n"/>
      <c r="H10" s="9" t="n"/>
      <c r="I10" s="9" t="n"/>
      <c r="J10" s="9" t="n"/>
      <c r="K10" s="9" t="n"/>
      <c r="L10" s="9" t="n"/>
      <c r="M10" s="9" t="n"/>
      <c r="N10" s="9" t="n"/>
      <c r="O10" s="9" t="n"/>
      <c r="P10" s="9" t="n"/>
      <c r="Q10" s="9" t="n"/>
    </row>
    <row r="11">
      <c r="A11" s="9" t="inlineStr">
        <is>
          <t>Fasteners</t>
        </is>
      </c>
      <c r="B11" s="9" t="inlineStr">
        <is>
          <t>M3x40 SHCS</t>
        </is>
      </c>
      <c r="C11" s="9" t="inlineStr">
        <is>
          <t>ISO 4762 / DIN 912</t>
        </is>
      </c>
      <c r="D11" s="9" t="inlineStr">
        <is>
          <t>7</t>
        </is>
      </c>
      <c r="E11" s="9" t="inlineStr">
        <is>
          <t>All</t>
        </is>
      </c>
      <c r="F11" s="10">
        <f>HYPERLINK("https://www.boltdepot.com/Product-Details.aspx?product=6387","Bolt Depot")</f>
        <v/>
      </c>
      <c r="G11" s="9" t="n"/>
      <c r="H11" s="11">
        <f>HYPERLINK("https://www.mcmaster.com/91290A136/","McMaster-Carr (25 pack)")</f>
        <v/>
      </c>
      <c r="I11" s="9" t="n"/>
      <c r="J11" s="9" t="n"/>
      <c r="K11" s="9" t="n"/>
      <c r="L11" s="9" t="n"/>
      <c r="M11" s="9" t="n"/>
      <c r="N11" s="9" t="n"/>
      <c r="O11" s="9" t="n"/>
      <c r="P11" s="9" t="n"/>
      <c r="Q11" s="9" t="n"/>
    </row>
    <row r="12">
      <c r="A12" s="9" t="inlineStr">
        <is>
          <t>Fasteners</t>
        </is>
      </c>
      <c r="B12" s="9" t="inlineStr">
        <is>
          <t>M3x30 SHCS</t>
        </is>
      </c>
      <c r="C12" s="9" t="inlineStr">
        <is>
          <t>ISO 4762 / DIN 912</t>
        </is>
      </c>
      <c r="D12" s="9" t="inlineStr">
        <is>
          <t>28</t>
        </is>
      </c>
      <c r="E12" s="9" t="inlineStr">
        <is>
          <t>All</t>
        </is>
      </c>
      <c r="F12" s="10">
        <f>HYPERLINK("https://www.boltdepot.com/Product-Details.aspx?product=13641","Bolt Depot")</f>
        <v/>
      </c>
      <c r="G12" s="9" t="n"/>
      <c r="H12" s="11">
        <f>HYPERLINK("https://www.mcmaster.com/91290A171/","McMaster-Carr (10 pack)")</f>
        <v/>
      </c>
      <c r="I12" s="9" t="n"/>
      <c r="J12" s="9" t="n"/>
      <c r="K12" s="9" t="n"/>
      <c r="L12" s="9" t="n"/>
      <c r="M12" s="9" t="n"/>
      <c r="N12" s="9" t="n"/>
      <c r="O12" s="9" t="n"/>
      <c r="P12" s="9" t="n"/>
      <c r="Q12" s="9" t="n"/>
    </row>
    <row r="13">
      <c r="A13" s="9" t="inlineStr">
        <is>
          <t>Fasteners</t>
        </is>
      </c>
      <c r="B13" s="9" t="inlineStr">
        <is>
          <t>M3x25 SHCS</t>
        </is>
      </c>
      <c r="C13" s="9" t="inlineStr">
        <is>
          <t>ISO 4762 / DIN 912</t>
        </is>
      </c>
      <c r="D13" s="9" t="inlineStr">
        <is>
          <t>2</t>
        </is>
      </c>
      <c r="E13" s="9" t="inlineStr">
        <is>
          <t>All</t>
        </is>
      </c>
      <c r="F13" s="10">
        <f>HYPERLINK("https://www.boltdepot.com/Product-Details.aspx?product=13640","Bolt Depot")</f>
        <v/>
      </c>
      <c r="G13" s="9" t="n"/>
      <c r="H13" s="11">
        <f>HYPERLINK("https://www.mcmaster.com/91290A125/","McMaster-Carr (100 pack)")</f>
        <v/>
      </c>
      <c r="I13" s="9" t="n"/>
      <c r="J13" s="9" t="n"/>
      <c r="K13" s="9" t="n"/>
      <c r="L13" s="9" t="n"/>
      <c r="M13" s="9" t="n"/>
      <c r="N13" s="9" t="n"/>
      <c r="O13" s="9" t="n"/>
      <c r="P13" s="9" t="n"/>
      <c r="Q13" s="9" t="n"/>
    </row>
    <row r="14">
      <c r="A14" s="9" t="inlineStr">
        <is>
          <t>Fasteners</t>
        </is>
      </c>
      <c r="B14" s="9" t="inlineStr">
        <is>
          <t>M3x20 SHCS</t>
        </is>
      </c>
      <c r="C14" s="9" t="inlineStr">
        <is>
          <t>ISO 4762 / DIN 912</t>
        </is>
      </c>
      <c r="D14" s="9" t="inlineStr">
        <is>
          <t>3</t>
        </is>
      </c>
      <c r="E14" s="9" t="inlineStr">
        <is>
          <t>All</t>
        </is>
      </c>
      <c r="F14" s="10">
        <f>HYPERLINK("https://www.boltdepot.com/Product-Details.aspx?product=13639","Bolt Depot")</f>
        <v/>
      </c>
      <c r="G14" s="9" t="n"/>
      <c r="H14" s="11">
        <f>HYPERLINK("https://www.mcmaster.com/91290A123/","McMaster-Carr (100 pack)")</f>
        <v/>
      </c>
      <c r="I14" s="9" t="n"/>
      <c r="J14" s="9" t="n"/>
      <c r="K14" s="9" t="n"/>
      <c r="L14" s="9" t="n"/>
      <c r="M14" s="9" t="n"/>
      <c r="N14" s="9" t="n"/>
      <c r="O14" s="9" t="n"/>
      <c r="P14" s="9" t="n"/>
      <c r="Q14" s="9" t="n"/>
    </row>
    <row r="15">
      <c r="A15" s="9" t="inlineStr">
        <is>
          <t>Fasteners</t>
        </is>
      </c>
      <c r="B15" s="9" t="inlineStr">
        <is>
          <t>M3x16 SHCS</t>
        </is>
      </c>
      <c r="C15" s="9" t="inlineStr">
        <is>
          <t>ISO 4762 / DIN 912</t>
        </is>
      </c>
      <c r="D15" s="9" t="inlineStr">
        <is>
          <t>12</t>
        </is>
      </c>
      <c r="E15" s="9" t="inlineStr">
        <is>
          <t>All</t>
        </is>
      </c>
      <c r="F15" s="10">
        <f>HYPERLINK("https://www.boltdepot.com/Product-Details.aspx?product=13638","Bolt Depot")</f>
        <v/>
      </c>
      <c r="G15" s="9" t="n"/>
      <c r="H15" s="11">
        <f>HYPERLINK("https://www.mcmaster.com/91290A120/","McMaster-Carr (100 pack)")</f>
        <v/>
      </c>
      <c r="I15" s="9" t="n"/>
      <c r="J15" s="9" t="n"/>
      <c r="K15" s="9" t="n"/>
      <c r="L15" s="9" t="n"/>
      <c r="M15" s="9" t="n"/>
      <c r="N15" s="9" t="n"/>
      <c r="O15" s="9" t="n"/>
      <c r="P15" s="9" t="n"/>
      <c r="Q15" s="9" t="n"/>
    </row>
    <row r="16">
      <c r="A16" s="9" t="inlineStr">
        <is>
          <t>Fasteners</t>
        </is>
      </c>
      <c r="B16" s="9" t="inlineStr">
        <is>
          <t>M3x12 SHCS</t>
        </is>
      </c>
      <c r="C16" s="9" t="inlineStr">
        <is>
          <t>ISO 4762 / DIN 912</t>
        </is>
      </c>
      <c r="D16" s="9" t="inlineStr">
        <is>
          <t>12</t>
        </is>
      </c>
      <c r="E16" s="9" t="inlineStr">
        <is>
          <t>All</t>
        </is>
      </c>
      <c r="F16" s="10">
        <f>HYPERLINK("https://www.boltdepot.com/Product-Details.aspx?product=13637","Bolt Depot")</f>
        <v/>
      </c>
      <c r="G16" s="9" t="n"/>
      <c r="H16" s="11">
        <f>HYPERLINK("https://www.mcmaster.com/91290A117/","McMaster-Carr (100 pack)")</f>
        <v/>
      </c>
      <c r="I16" s="9" t="n"/>
      <c r="J16" s="9" t="n"/>
      <c r="K16" s="9" t="n"/>
      <c r="L16" s="9" t="n"/>
      <c r="M16" s="9" t="n"/>
      <c r="N16" s="9" t="n"/>
      <c r="O16" s="9" t="n"/>
      <c r="P16" s="9" t="n"/>
      <c r="Q16" s="9" t="n"/>
    </row>
    <row r="17">
      <c r="A17" s="9" t="inlineStr">
        <is>
          <t>Fasteners</t>
        </is>
      </c>
      <c r="B17" s="9" t="inlineStr">
        <is>
          <t>M3x8 SHCS</t>
        </is>
      </c>
      <c r="C17" s="9" t="inlineStr">
        <is>
          <t>ISO 4762 / DIN 912</t>
        </is>
      </c>
      <c r="D17" s="9" t="inlineStr">
        <is>
          <t>66</t>
        </is>
      </c>
      <c r="E17" s="9" t="inlineStr">
        <is>
          <t>All</t>
        </is>
      </c>
      <c r="F17" s="10">
        <f>HYPERLINK("https://www.boltdepot.com/Product-Details.aspx?product=13635","Bolt Depot")</f>
        <v/>
      </c>
      <c r="G17" s="9" t="n"/>
      <c r="H17" s="11">
        <f>HYPERLINK("https://www.boltdepot.com/Product-Details.aspx?product=13633","Bolt Depot")</f>
        <v/>
      </c>
      <c r="I17" s="9" t="n"/>
      <c r="J17" s="11">
        <f>HYPERLINK("https://www.mcmaster.com/91290A113/","McMaster-Carr (100 pack)")</f>
        <v/>
      </c>
      <c r="K17" s="9" t="n"/>
      <c r="L17" s="9" t="n"/>
      <c r="M17" s="9" t="n"/>
      <c r="N17" s="9" t="n"/>
      <c r="O17" s="9" t="n"/>
      <c r="P17" s="9" t="n"/>
      <c r="Q17" s="9" t="n"/>
    </row>
    <row r="18">
      <c r="A18" s="9" t="inlineStr">
        <is>
          <t>Fasteners</t>
        </is>
      </c>
      <c r="B18" s="9" t="inlineStr">
        <is>
          <t>M3x6 BHCS</t>
        </is>
      </c>
      <c r="C18" s="9" t="inlineStr">
        <is>
          <t>ISO 7380-1</t>
        </is>
      </c>
      <c r="D18" s="9" t="inlineStr">
        <is>
          <t>6</t>
        </is>
      </c>
      <c r="E18" s="9" t="inlineStr">
        <is>
          <t>All</t>
        </is>
      </c>
      <c r="F18" s="10">
        <f>HYPERLINK("https://www.boltdepot.com/Product-Details.aspx?product=13334","Bolt Depot")</f>
        <v/>
      </c>
      <c r="G18" s="9" t="n"/>
      <c r="H18" s="11">
        <f>HYPERLINK("https://www.boltdepot.com/Metric_socket_button_head_Class_12.9_alloy_steel_black_oxide_finish_3mm_x_0.5mm.aspx","Bolt Depot")</f>
        <v/>
      </c>
      <c r="I18" s="9" t="n"/>
      <c r="J18" s="11">
        <f>HYPERLINK("https://www.mcmaster.com/91239A111/","McMaster-Carr (100 pack)")</f>
        <v/>
      </c>
      <c r="K18" s="9" t="n"/>
      <c r="L18" s="11">
        <f>HYPERLINK("https://s.click.aliexpress.com/e/_d7V4XEq","Aliexpress")</f>
        <v/>
      </c>
      <c r="M18" s="9" t="n"/>
      <c r="N18" s="9" t="n"/>
      <c r="O18" s="9" t="n"/>
      <c r="P18" s="9" t="n"/>
      <c r="Q18" s="9" t="n"/>
    </row>
    <row r="19">
      <c r="A19" s="9" t="inlineStr">
        <is>
          <t>Fasteners</t>
        </is>
      </c>
      <c r="B19" s="9" t="inlineStr">
        <is>
          <t>M3x6 FHCS</t>
        </is>
      </c>
      <c r="C19" s="9" t="inlineStr">
        <is>
          <t>ISO 10642 / DIN 7991</t>
        </is>
      </c>
      <c r="D19" s="9" t="inlineStr">
        <is>
          <t>16</t>
        </is>
      </c>
      <c r="E19" s="9" t="inlineStr">
        <is>
          <t>All</t>
        </is>
      </c>
      <c r="F19" s="10">
        <f>HYPERLINK("https://www.boltdepot.com/Product-Details.aspx?product=13249","Bolt Depot")</f>
        <v/>
      </c>
      <c r="G19" s="9" t="n"/>
      <c r="H19" s="11">
        <f>HYPERLINK("https://www.mcmaster.com/91294A126/","McMaster-Carr (100 pack)")</f>
        <v/>
      </c>
      <c r="I19" s="9" t="n"/>
      <c r="J19" s="9" t="n"/>
      <c r="K19" s="9" t="n"/>
      <c r="L19" s="9" t="n"/>
      <c r="M19" s="9" t="n"/>
      <c r="N19" s="9" t="n"/>
      <c r="O19" s="9" t="n"/>
      <c r="P19" s="9" t="n"/>
      <c r="Q19" s="9" t="n"/>
    </row>
    <row r="20">
      <c r="A20" s="9" t="inlineStr">
        <is>
          <t>Fasteners</t>
        </is>
      </c>
      <c r="B20" s="9" t="inlineStr">
        <is>
          <t>M3x12 FHCS</t>
        </is>
      </c>
      <c r="C20" s="9" t="inlineStr">
        <is>
          <t>ISO 10642</t>
        </is>
      </c>
      <c r="D20" s="9" t="inlineStr">
        <is>
          <t>9</t>
        </is>
      </c>
      <c r="E20" s="9" t="inlineStr">
        <is>
          <t>All</t>
        </is>
      </c>
      <c r="F20" s="10">
        <f>HYPERLINK("https://www.mcmaster.com/92125A132/","McMaster-Carr (25 pack)")</f>
        <v/>
      </c>
      <c r="G20" s="9" t="n"/>
      <c r="H20" s="9" t="n"/>
      <c r="I20" s="9" t="n"/>
      <c r="J20" s="9" t="n"/>
      <c r="K20" s="9" t="n"/>
      <c r="L20" s="9" t="n"/>
      <c r="M20" s="9" t="n"/>
      <c r="N20" s="9" t="n"/>
      <c r="O20" s="9" t="n"/>
      <c r="P20" s="9" t="n"/>
      <c r="Q20" s="9" t="n"/>
    </row>
    <row r="21">
      <c r="A21" s="9" t="inlineStr">
        <is>
          <t>Fasteners</t>
        </is>
      </c>
      <c r="B21" s="9" t="inlineStr">
        <is>
          <t>6x6x3 Spacer</t>
        </is>
      </c>
      <c r="C21" s="9" t="n"/>
      <c r="D21" s="9" t="n"/>
      <c r="E21" s="9" t="n"/>
      <c r="F21" s="10">
        <f>HYPERLINK("https://www.boltdepot.com/Product-Details.aspx?product=25940","Bolt Depot (Imperial equivalent)")</f>
        <v/>
      </c>
      <c r="G21" s="9" t="n"/>
      <c r="H21" s="11">
        <f>HYPERLINK("https://www.mcmaster.com/92320A322/","McMaster-Carr (Imperial equivalent)")</f>
        <v/>
      </c>
      <c r="I21" s="9" t="n"/>
      <c r="J21" s="9" t="inlineStr">
        <is>
          <t>X</t>
        </is>
      </c>
      <c r="K21" s="9" t="n"/>
      <c r="L21" s="9" t="n"/>
      <c r="M21" s="9" t="n"/>
      <c r="N21" s="9" t="n"/>
      <c r="O21" s="9" t="n"/>
      <c r="P21" s="9" t="n"/>
      <c r="Q21" s="9" t="n"/>
    </row>
    <row r="22">
      <c r="A22" s="9" t="inlineStr">
        <is>
          <t>Fasteners</t>
        </is>
      </c>
      <c r="B22" s="9" t="inlineStr">
        <is>
          <t>M2x10 Self Tapping Screw for Plastics</t>
        </is>
      </c>
      <c r="C22" s="9" t="n"/>
      <c r="D22" s="9" t="inlineStr">
        <is>
          <t>8</t>
        </is>
      </c>
      <c r="E22" s="9" t="inlineStr">
        <is>
          <t>All</t>
        </is>
      </c>
      <c r="F22" s="10">
        <f>HYPERLINK("https://www.aliexpress.com/item/33043885403.html","Aliexpress")</f>
        <v/>
      </c>
      <c r="G22" s="9" t="n"/>
      <c r="H22" s="11">
        <f>HYPERLINK("https://www.mcmaster.com/99397A267/","McMaster-Carr (50 pack)")</f>
        <v/>
      </c>
      <c r="I22" s="9" t="n"/>
      <c r="J22" s="11">
        <f>HYPERLINK("https://amzn.to/2JFQPSK","Amazon - kit")</f>
        <v/>
      </c>
      <c r="K22" s="9" t="n"/>
      <c r="L22" s="11">
        <f>HYPERLINK("https://s.click.aliexpress.com/e/_d6tILYa","Aliexpress")</f>
        <v/>
      </c>
      <c r="M22" s="11">
        <f>HYPERLINK("https://www.amazon.com/dp/B012THLK1E","Amazon")</f>
        <v/>
      </c>
      <c r="N22" s="9" t="n"/>
      <c r="O22" s="9" t="n"/>
      <c r="P22" s="9" t="n"/>
      <c r="Q22" s="12" t="inlineStr">
        <is>
          <t>all links were dead</t>
        </is>
      </c>
    </row>
    <row r="23">
      <c r="A23" s="9" t="inlineStr">
        <is>
          <t>Fasteners</t>
        </is>
      </c>
      <c r="B23" s="9" t="inlineStr">
        <is>
          <t>M3 Heat Set Insert (M3x5x4)</t>
        </is>
      </c>
      <c r="C23" s="9" t="n"/>
      <c r="D23" s="9" t="inlineStr">
        <is>
          <t>54</t>
        </is>
      </c>
      <c r="E23" s="9" t="inlineStr">
        <is>
          <t>All</t>
        </is>
      </c>
      <c r="F23" s="10">
        <f>HYPERLINK("https://www.aliexpress.com/item/4000232858343.html","Aliexpress - M3x5x4")</f>
        <v/>
      </c>
      <c r="G23" s="11">
        <f>HYPERLINK("https://s.click.aliexpress.com/e/_dW3Uprs","[Affiliate Link]")</f>
        <v/>
      </c>
      <c r="H23" s="11">
        <f>HYPERLINK("https://s.click.aliexpress.com/e/_ANjqIj","Aliexpress")</f>
        <v/>
      </c>
      <c r="I23" s="9" t="n"/>
      <c r="J23" s="11">
        <f>HYPERLINK("https://www.amazon.com/dp/B077CJV3Z9","Amazon")</f>
        <v/>
      </c>
      <c r="K23" s="9" t="n"/>
      <c r="L23" s="11">
        <f>HYPERLINK("https://s.click.aliexpress.com/e/_dWMOd8C","Aliexpress - M3x5x4")</f>
        <v/>
      </c>
      <c r="M23" s="11">
        <f>HYPERLINK("https://www.mcmaster.com/94180A331/","McMaster-Carr")</f>
        <v/>
      </c>
      <c r="N23" s="11">
        <f>HYPERLINK("https://s.click.aliexpress.com/e/_dW3Uprs","AliExpress")</f>
        <v/>
      </c>
      <c r="O23" s="11">
        <f>HYPERLINK("https://cnckitchenus.store/products/made-for-voron-gewindeeinsatz-threaded-insert-m3x5x4-100-stk-pcs","CNC Kitchen")</f>
        <v/>
      </c>
      <c r="P23" s="9" t="n"/>
      <c r="Q23" s="9" t="n"/>
    </row>
    <row r="24">
      <c r="A24" s="9" t="inlineStr">
        <is>
          <t>Fasteners</t>
        </is>
      </c>
      <c r="B24" s="9" t="inlineStr">
        <is>
          <t>5x10x1 Shim Ring</t>
        </is>
      </c>
      <c r="C24" s="9" t="inlineStr">
        <is>
          <t>DIN 988</t>
        </is>
      </c>
      <c r="D24" s="9" t="inlineStr">
        <is>
          <t>19</t>
        </is>
      </c>
      <c r="E24" s="9" t="inlineStr">
        <is>
          <t>All</t>
        </is>
      </c>
      <c r="F24" s="10">
        <f>HYPERLINK("https://www.aliexpress.com/item/32917948919.html","Aliexpress")</f>
        <v/>
      </c>
      <c r="G24" s="11">
        <f>HYPERLINK("https://s.click.aliexpress.com/e/41Vkdm7q","[Affiliate Link]")</f>
        <v/>
      </c>
      <c r="H24" s="11">
        <f>HYPERLINK("https://www.mcmaster.com/98055A099/","McMaster-Carr (50 pack)")</f>
        <v/>
      </c>
      <c r="I24" s="9" t="n"/>
      <c r="J24" s="11">
        <f>HYPERLINK("https://s.click.aliexpress.com/e/41Vkdm7q","AliExpress")</f>
        <v/>
      </c>
      <c r="K24" s="9" t="n"/>
      <c r="L24" s="9" t="n"/>
      <c r="M24" s="9" t="n"/>
      <c r="N24" s="9" t="n"/>
      <c r="O24" s="9" t="n"/>
      <c r="P24" s="9" t="n"/>
      <c r="Q24" s="9" t="n"/>
    </row>
    <row r="25">
      <c r="A25" s="9" t="inlineStr">
        <is>
          <t>Hardware</t>
        </is>
      </c>
      <c r="B25" s="9" t="inlineStr">
        <is>
          <t>M3 Hexnut</t>
        </is>
      </c>
      <c r="C25" s="9" t="inlineStr">
        <is>
          <t>ISO 4033 / DIN 934</t>
        </is>
      </c>
      <c r="D25" s="9" t="inlineStr">
        <is>
          <t>3</t>
        </is>
      </c>
      <c r="E25" s="9" t="inlineStr">
        <is>
          <t>All</t>
        </is>
      </c>
      <c r="F25" s="10">
        <f>HYPERLINK("https://www.boltdepot.com/Product-Details.aspx?product=4783","Bolt Depot")</f>
        <v/>
      </c>
      <c r="G25" s="9" t="n"/>
      <c r="H25" s="11">
        <f>HYPERLINK("https://www.boltdepot.com/Metric_hex_nuts_Stainless_steel_18-8_(A-2).aspx","Bolt Depot")</f>
        <v/>
      </c>
      <c r="I25" s="9" t="n"/>
      <c r="J25" s="11">
        <f>HYPERLINK("https://www.mcmaster.com/90591A250/","McMaster-Carr (100 pack)")</f>
        <v/>
      </c>
      <c r="K25" s="9" t="n"/>
      <c r="L25" s="11">
        <f>HYPERLINK("https://www.aliexpress.com/item/32977174437.html","Aliexpress")</f>
        <v/>
      </c>
      <c r="M25" s="9" t="n"/>
      <c r="N25" s="9" t="n"/>
      <c r="O25" s="9" t="n"/>
      <c r="P25" s="9" t="n"/>
      <c r="Q25" s="9" t="n"/>
    </row>
    <row r="26">
      <c r="A26" s="9" t="inlineStr">
        <is>
          <t>Fasteners</t>
        </is>
      </c>
      <c r="B26" s="9" t="inlineStr">
        <is>
          <t>M3 T-nut (For 2020 extrusions)</t>
        </is>
      </c>
      <c r="C26" s="9" t="n"/>
      <c r="D26" s="9" t="inlineStr">
        <is>
          <t>13</t>
        </is>
      </c>
      <c r="E26" s="9" t="inlineStr">
        <is>
          <t>All</t>
        </is>
      </c>
      <c r="F26" s="10">
        <f>HYPERLINK("https://www.aliexpress.com/item/32805163712.html","ZFhong")</f>
        <v/>
      </c>
      <c r="G26" s="11">
        <f>HYPERLINK("https://s.click.aliexpress.com/e/KUHCwnu4","[Affiliate Link]")</f>
        <v/>
      </c>
      <c r="H26" s="11">
        <f>HYPERLINK("https://www.aliexpress.com/item/32706208829.html","Link CNC")</f>
        <v/>
      </c>
      <c r="I26" s="11">
        <f>HYPERLINK("https://s.click.aliexpress.com/e/CjL58TXS","[Affiliate Link]")</f>
        <v/>
      </c>
      <c r="J26" s="9" t="n"/>
      <c r="K26" s="9" t="n"/>
      <c r="L26" s="9" t="n"/>
      <c r="M26" s="9" t="n"/>
      <c r="N26" s="9" t="n"/>
      <c r="O26" s="9" t="n"/>
      <c r="P26" s="9" t="n"/>
      <c r="Q26" s="9" t="n"/>
    </row>
    <row r="27">
      <c r="A27" s="9" t="inlineStr">
        <is>
          <t>Fasteners</t>
        </is>
      </c>
      <c r="B27" s="9" t="inlineStr">
        <is>
          <t>M3 T-nut (For 3030 extrusions)</t>
        </is>
      </c>
      <c r="C27" s="9" t="n"/>
      <c r="D27" s="9" t="inlineStr">
        <is>
          <t>12</t>
        </is>
      </c>
      <c r="E27" s="9" t="inlineStr">
        <is>
          <t>All</t>
        </is>
      </c>
      <c r="F27" s="9" t="n"/>
      <c r="G27" s="9" t="n"/>
      <c r="H27" s="9" t="n"/>
      <c r="I27" s="9" t="n"/>
      <c r="J27" s="9" t="n"/>
      <c r="K27" s="9" t="n"/>
      <c r="L27" s="9" t="n"/>
      <c r="M27" s="9" t="n"/>
      <c r="N27" s="9" t="n"/>
      <c r="O27" s="9" t="n"/>
      <c r="P27" s="9" t="n"/>
      <c r="Q27" s="9" t="n"/>
    </row>
    <row r="28">
      <c r="A28" s="9" t="inlineStr">
        <is>
          <t>Fasteners</t>
        </is>
      </c>
      <c r="B28" s="9" t="inlineStr">
        <is>
          <t>M5 T-nut (For 2020 extrusions)</t>
        </is>
      </c>
      <c r="C28" s="9" t="n"/>
      <c r="D28" s="9" t="inlineStr">
        <is>
          <t>12</t>
        </is>
      </c>
      <c r="E28" s="9" t="inlineStr">
        <is>
          <t>All</t>
        </is>
      </c>
      <c r="F28" s="10">
        <f>HYPERLINK("https://www.aliexpress.com/item/32805163712.html","ZFhong")</f>
        <v/>
      </c>
      <c r="G28" s="11">
        <f>HYPERLINK("https://s.click.aliexpress.com/e/Cj06YPR2","[Affiliate Link]")</f>
        <v/>
      </c>
      <c r="H28" s="11">
        <f>HYPERLINK("https://www.aliexpress.com/item/32706208829.html","Link CNC")</f>
        <v/>
      </c>
      <c r="I28" s="11">
        <f>HYPERLINK("https://s.click.aliexpress.com/e/rRVnt3M4","[Affiliate Link]")</f>
        <v/>
      </c>
      <c r="J28" s="9" t="n"/>
      <c r="K28" s="9" t="n"/>
      <c r="L28" s="9" t="n"/>
      <c r="M28" s="9" t="n"/>
      <c r="N28" s="9" t="n"/>
      <c r="O28" s="9" t="n"/>
      <c r="P28" s="9" t="n"/>
      <c r="Q28" s="9" t="n"/>
    </row>
    <row r="29">
      <c r="A29" s="9" t="inlineStr">
        <is>
          <t>Fasteners</t>
        </is>
      </c>
      <c r="B29" s="9" t="inlineStr">
        <is>
          <t>M5 T-nut (For 3030 extrusions)</t>
        </is>
      </c>
      <c r="C29" s="9" t="n"/>
      <c r="D29" s="9" t="inlineStr">
        <is>
          <t>52</t>
        </is>
      </c>
      <c r="E29" s="9" t="inlineStr">
        <is>
          <t>All</t>
        </is>
      </c>
      <c r="F29" s="9" t="n"/>
      <c r="G29" s="9" t="n"/>
      <c r="H29" s="9" t="n"/>
      <c r="I29" s="9" t="n"/>
      <c r="J29" s="9" t="n"/>
      <c r="K29" s="9" t="n"/>
      <c r="L29" s="9" t="n"/>
      <c r="M29" s="9" t="n"/>
      <c r="N29" s="9" t="n"/>
      <c r="O29" s="9" t="n"/>
      <c r="P29" s="9" t="n"/>
      <c r="Q29" s="9" t="n"/>
    </row>
    <row r="30">
      <c r="A30" s="14" t="inlineStr">
        <is>
          <t>Motion</t>
        </is>
      </c>
      <c r="B30" s="14" t="inlineStr">
        <is>
          <t>GT2 Open Belt LL-2GT-6 (6mm wide) - 1500mm</t>
        </is>
      </c>
      <c r="C30" s="14" t="n"/>
      <c r="D30" s="14" t="inlineStr">
        <is>
          <t>2</t>
        </is>
      </c>
      <c r="E30" s="14" t="inlineStr">
        <is>
          <t>All</t>
        </is>
      </c>
      <c r="F30" s="15">
        <f>HYPERLINK("https://s.click.aliexpress.com/e/2pncOJKs","AliExpress")</f>
        <v/>
      </c>
      <c r="G30" s="14" t="n"/>
      <c r="H30" s="16">
        <f>HYPERLINK("https://www.aliexpress.com/item/32987817703.html","POWGE")</f>
        <v/>
      </c>
      <c r="I30" s="14" t="n"/>
      <c r="J30" s="14" t="n"/>
      <c r="K30" s="14" t="n"/>
      <c r="L30" s="14" t="n"/>
      <c r="M30" s="14" t="n"/>
      <c r="N30" s="14" t="n"/>
      <c r="O30" s="14" t="n"/>
      <c r="P30" s="17" t="inlineStr">
        <is>
          <t>GATES belts are required for every open loop belt on the machine. SDP-SI is a US gates reseller (and tested)</t>
        </is>
      </c>
      <c r="Q30" s="18" t="inlineStr">
        <is>
          <t>some links were dead</t>
        </is>
      </c>
    </row>
    <row r="31">
      <c r="A31" s="14" t="inlineStr">
        <is>
          <t>Motion</t>
        </is>
      </c>
      <c r="B31" s="14" t="inlineStr">
        <is>
          <t>GT2 Open Belt LL-2GT-6 (6mm wide) - 800mm</t>
        </is>
      </c>
      <c r="C31" s="14" t="n"/>
      <c r="D31" s="14" t="inlineStr">
        <is>
          <t>1</t>
        </is>
      </c>
      <c r="E31" s="14" t="inlineStr">
        <is>
          <t>All</t>
        </is>
      </c>
      <c r="F31" s="14" t="n"/>
      <c r="G31" s="14" t="n"/>
      <c r="H31" s="14" t="n"/>
      <c r="I31" s="14" t="n"/>
      <c r="J31" s="14" t="n"/>
      <c r="K31" s="14" t="n"/>
      <c r="L31" s="14" t="n"/>
      <c r="M31" s="14" t="n"/>
      <c r="N31" s="14" t="n"/>
      <c r="O31" s="14" t="n"/>
      <c r="P31" s="14" t="n"/>
      <c r="Q31" s="14" t="n"/>
    </row>
    <row r="32">
      <c r="A32" s="14" t="inlineStr">
        <is>
          <t>Motion</t>
        </is>
      </c>
      <c r="B32" s="14" t="inlineStr">
        <is>
          <t>GT2 20T (6mm wide) Pulley (5mm bore)</t>
        </is>
      </c>
      <c r="C32" s="14" t="n"/>
      <c r="D32" s="14" t="inlineStr">
        <is>
          <t>3</t>
        </is>
      </c>
      <c r="E32" s="14" t="inlineStr">
        <is>
          <t>All</t>
        </is>
      </c>
      <c r="F32" s="15">
        <f>HYPERLINK("https://www.aliexpress.com/item/32226562320.html","POWGE")</f>
        <v/>
      </c>
      <c r="G32" s="16">
        <f>HYPERLINK("https://s.click.aliexpress.com/e/E1Y0mkUu","[Affiliate Link]")</f>
        <v/>
      </c>
      <c r="H32" s="16">
        <f>HYPERLINK("https://s.click.aliexpress.com/e/_AqN4lx","Aliexpress")</f>
        <v/>
      </c>
      <c r="I32" s="14" t="n"/>
      <c r="J32" s="16">
        <f>HYPERLINK("https://s.click.aliexpress.com/e/E1Y0mkUu","AliExpress")</f>
        <v/>
      </c>
      <c r="K32" s="14" t="n"/>
      <c r="L32" s="16">
        <f>HYPERLINK("https://s.click.aliexpress.com/e/_dYtoM9A","Aliexpress")</f>
        <v/>
      </c>
      <c r="M32" s="14" t="n"/>
      <c r="N32" s="14" t="n"/>
      <c r="O32" s="14" t="n"/>
      <c r="P32" s="14" t="n"/>
      <c r="Q32" s="14" t="n"/>
    </row>
    <row r="33">
      <c r="A33" s="14" t="inlineStr">
        <is>
          <t>Motion</t>
        </is>
      </c>
      <c r="B33" s="14" t="inlineStr">
        <is>
          <t>F695 2RS Bearing</t>
        </is>
      </c>
      <c r="C33" s="14" t="n"/>
      <c r="D33" s="14" t="inlineStr">
        <is>
          <t>20</t>
        </is>
      </c>
      <c r="E33" s="14" t="inlineStr">
        <is>
          <t>All</t>
        </is>
      </c>
      <c r="F33" s="15">
        <f>HYPERLINK("https://www.aliexpress.com/item/33001186278.html","RainDew")</f>
        <v/>
      </c>
      <c r="G33" s="16">
        <f>HYPERLINK("https://s.click.aliexpress.com/e/FhQBXGmc","[Affiliate Link]")</f>
        <v/>
      </c>
      <c r="H33" s="16">
        <f>HYPERLINK("https://www.aliexpress.com/item/32850989216.html","Fushi")</f>
        <v/>
      </c>
      <c r="I33" s="16">
        <f>HYPERLINK("https://s.click.aliexpress.com/e/Mv4uHJoM","[Affiliate Link]")</f>
        <v/>
      </c>
      <c r="J33" s="16">
        <f>HYPERLINK("https://s.click.aliexpress.com/e/FhQBXGmc","AliExpress")</f>
        <v/>
      </c>
      <c r="K33" s="14" t="n"/>
      <c r="L33" s="14" t="n"/>
      <c r="M33" s="14" t="n"/>
      <c r="N33" s="14" t="n"/>
      <c r="O33" s="14" t="n"/>
      <c r="P33" s="14" t="n"/>
      <c r="Q33" s="14" t="n"/>
    </row>
    <row r="34">
      <c r="A34" s="14" t="inlineStr">
        <is>
          <t>Motion</t>
        </is>
      </c>
      <c r="B34" s="14" t="inlineStr">
        <is>
          <t>Linear Rail MGN12H ** See Configurator for length **</t>
        </is>
      </c>
      <c r="C34" s="14" t="n"/>
      <c r="D34" s="14" t="inlineStr">
        <is>
          <t>4</t>
        </is>
      </c>
      <c r="E34" s="14" t="inlineStr">
        <is>
          <t>All</t>
        </is>
      </c>
      <c r="F34" s="15">
        <f>HYPERLINK("https://www.aliexpress.com/item/32829826159.html","CNA")</f>
        <v/>
      </c>
      <c r="G34" s="14" t="n"/>
      <c r="H34" s="16">
        <f>HYPERLINK("https://www.robotdigg.com/product/1314/Black-anodized-linear-rail-7,-9,-12-and-15","RobotDigg (Black Stainless Rails)")</f>
        <v/>
      </c>
      <c r="I34" s="14" t="n"/>
      <c r="J34" s="16">
        <f>HYPERLINK("https://www.zyltech.com/zyltech-mgn12-h-type-linear-rail-with-single-or-double-carriage-block","Zyltech")</f>
        <v/>
      </c>
      <c r="K34" s="14" t="n"/>
      <c r="L34" s="16">
        <f>HYPERLINK("https://www.aliexpress.com/item/2251832643511407.html","CNA")</f>
        <v/>
      </c>
      <c r="M34" s="16">
        <f>HYPERLINK("https://docs.ldomotors.com/en/voron/LDO_Voron_Distributors","LDO")</f>
        <v/>
      </c>
      <c r="N34" s="14" t="n"/>
      <c r="O34" s="14" t="n"/>
      <c r="P34" s="14" t="n"/>
      <c r="Q34" s="14" t="n"/>
    </row>
    <row r="35">
      <c r="A35" s="14" t="inlineStr">
        <is>
          <t>Motion</t>
        </is>
      </c>
      <c r="B35" s="14" t="inlineStr">
        <is>
          <t>Key-bak Super48 36" 13oz</t>
        </is>
      </c>
      <c r="C35" s="14" t="n"/>
      <c r="D35" s="14" t="inlineStr">
        <is>
          <t>1</t>
        </is>
      </c>
      <c r="E35" s="14" t="inlineStr">
        <is>
          <t>All</t>
        </is>
      </c>
      <c r="F35" s="15">
        <f>HYPERLINK("https://amzn.to/3isiyWo","Amazon")</f>
        <v/>
      </c>
      <c r="G35" s="14" t="n"/>
      <c r="H35" s="14" t="n"/>
      <c r="I35" s="14" t="n"/>
      <c r="J35" s="14" t="n"/>
      <c r="K35" s="14" t="n"/>
      <c r="L35" s="14" t="n"/>
      <c r="M35" s="14" t="n"/>
      <c r="N35" s="14" t="n"/>
      <c r="O35" s="14" t="n"/>
      <c r="P35" s="14" t="n"/>
      <c r="Q35" s="14" t="n"/>
    </row>
    <row r="36">
      <c r="A36" s="19" t="inlineStr">
        <is>
          <t>Vibration Management</t>
        </is>
      </c>
      <c r="B36" s="19" t="inlineStr">
        <is>
          <t>Rubber Compressor Foot</t>
        </is>
      </c>
      <c r="C36" s="19" t="n"/>
      <c r="D36" s="19" t="inlineStr">
        <is>
          <t>4</t>
        </is>
      </c>
      <c r="E36" s="19" t="inlineStr">
        <is>
          <t>All</t>
        </is>
      </c>
      <c r="F36" s="20">
        <f>HYPERLINK("https://www.amazon.com/dp/B0711Y6T56","Amazon")</f>
        <v/>
      </c>
      <c r="G36" s="21">
        <f>HYPERLINK("https://amzn.to/2TqJkWS","[Affiliate Link]")</f>
        <v/>
      </c>
      <c r="H36" s="21">
        <f>HYPERLINK("https://www.aliexpress.com/item/32990144547.html","AliExpress")</f>
        <v/>
      </c>
      <c r="I36" s="21">
        <f>HYPERLINK("https://s.click.aliexpress.com/e/_d78yoQO","[Affiliate Link]")</f>
        <v/>
      </c>
      <c r="J36" s="19" t="n"/>
      <c r="K36" s="19" t="n"/>
      <c r="L36" s="19" t="n"/>
      <c r="M36" s="19" t="n"/>
      <c r="N36" s="19" t="n"/>
      <c r="O36" s="19" t="n"/>
      <c r="P36" s="22" t="inlineStr">
        <is>
          <t>Comes and goes in stock from Amazon</t>
        </is>
      </c>
      <c r="Q36" s="23" t="inlineStr">
        <is>
          <t>some links were dead</t>
        </is>
      </c>
    </row>
    <row r="37">
      <c r="A37" s="24" t="inlineStr">
        <is>
          <t>Electronics</t>
        </is>
      </c>
      <c r="B37" s="24" t="inlineStr">
        <is>
          <t>Omron Mouse Button - Micro Switch</t>
        </is>
      </c>
      <c r="C37" s="24" t="n"/>
      <c r="D37" s="24" t="inlineStr">
        <is>
          <t>2</t>
        </is>
      </c>
      <c r="E37" s="24" t="inlineStr">
        <is>
          <t>All</t>
        </is>
      </c>
      <c r="F37" s="25">
        <f>HYPERLINK("https://www.digikey.com/product-detail/en/omron-electronics-inc-emc-div/D2F-5L/Z8846-ND/8593137","Digikey")</f>
        <v/>
      </c>
      <c r="G37" s="24" t="n"/>
      <c r="H37" s="26">
        <f>HYPERLINK("https://www.digikey.com/en/products/detail/omron-electronics-inc-emc-div/D2F-01L/83264","Digikey")</f>
        <v/>
      </c>
      <c r="I37" s="24" t="n"/>
      <c r="J37" s="26">
        <f>HYPERLINK("https://www.digikey.com/product-detail/en/omron-electronics-inc-emc-div/D2F-5/Z8845-ND/8593136","Digikey")</f>
        <v/>
      </c>
      <c r="K37" s="24" t="n"/>
      <c r="L37" s="24" t="n"/>
      <c r="M37" s="24" t="n"/>
      <c r="N37" s="24" t="n"/>
      <c r="O37" s="24" t="n"/>
      <c r="P37" s="24" t="n"/>
      <c r="Q37" s="24" t="n"/>
    </row>
    <row r="38">
      <c r="A38" s="24" t="inlineStr">
        <is>
          <t>Electronics</t>
        </is>
      </c>
      <c r="B38" s="24" t="inlineStr">
        <is>
          <t>Omron TL-Q5MC2 - NPN, NC, 5mm Sense</t>
        </is>
      </c>
      <c r="C38" s="24" t="n"/>
      <c r="D38" s="24" t="inlineStr">
        <is>
          <t>1</t>
        </is>
      </c>
      <c r="E38" s="24" t="inlineStr">
        <is>
          <t>All</t>
        </is>
      </c>
      <c r="F38" s="25">
        <f>HYPERLINK("https://www.aliexpress.com/item/2251832663198775.html","Aliexpress")</f>
        <v/>
      </c>
      <c r="G38" s="26">
        <f>HYPERLINK("https://s.click.aliexpress.com/e/_DEI50IF","[Affiliate Link]")</f>
        <v/>
      </c>
      <c r="H38" s="26">
        <f>HYPERLINK("https://www.mouser.com/ProductDetail/Omron-Automation-and-Safety/TL-Q5MC2?qs=%2Fha2pyFadujGSyouhW07bDypqQHk8q5KtPum7PUL424%3D","Mouser (OEM A-Stock)")</f>
        <v/>
      </c>
      <c r="I38" s="24" t="n"/>
      <c r="J38" s="26">
        <f>HYPERLINK("https://www.newark.com/omron-industrial-automation/tl-q5mc2/rect-prx-5mm-npn-nc-unsh/dp/38B1174","Newark (OEM A-Stock)")</f>
        <v/>
      </c>
      <c r="K38" s="24" t="n"/>
      <c r="L38" s="26">
        <f>HYPERLINK("https://s.click.aliexpress.com/e/_DlxY7KJ","AliExpress")</f>
        <v/>
      </c>
      <c r="M38" s="24" t="inlineStr">
        <is>
          <t>X (Pinda)</t>
        </is>
      </c>
      <c r="N38" s="24" t="n"/>
      <c r="O38" s="24" t="n"/>
      <c r="P38" s="27" t="inlineStr">
        <is>
          <t>Note, when using the Pinda probe Y travel will be reduced due to trigger distance and clearance with bed locating pins and wiring cover.</t>
        </is>
      </c>
      <c r="Q38" s="24" t="n"/>
    </row>
    <row r="39">
      <c r="A39" s="24" t="inlineStr">
        <is>
          <t>Electronics</t>
        </is>
      </c>
      <c r="B39" s="24" t="inlineStr">
        <is>
          <t>BAT85 Diode</t>
        </is>
      </c>
      <c r="C39" s="24" t="n"/>
      <c r="D39" s="24" t="inlineStr">
        <is>
          <t>1</t>
        </is>
      </c>
      <c r="E39" s="24" t="inlineStr">
        <is>
          <t>All</t>
        </is>
      </c>
      <c r="F39" s="25">
        <f>HYPERLINK("https://www.digikey.com/product-detail/en/BAT85S-TR/BAT85SCT-ND/3104371","DigiKey")</f>
        <v/>
      </c>
      <c r="G39" s="24" t="n"/>
      <c r="H39" s="24" t="inlineStr">
        <is>
          <t>not needed</t>
        </is>
      </c>
      <c r="I39" s="24" t="n"/>
      <c r="J39" s="24" t="n"/>
      <c r="K39" s="24" t="n"/>
      <c r="L39" s="24" t="n"/>
      <c r="M39" s="24" t="n"/>
      <c r="N39" s="24" t="n"/>
      <c r="O39" s="24" t="n"/>
      <c r="P39" s="27" t="inlineStr">
        <is>
          <t>You do not want to get this part from an Ali vendor as quality can be suspect. If these sources are not available in your area, please ask in a regional channel on Discord or search a local electronics store.</t>
        </is>
      </c>
      <c r="Q39" s="24" t="n"/>
    </row>
    <row r="40">
      <c r="A40" s="24" t="inlineStr">
        <is>
          <t>Electronics</t>
        </is>
      </c>
      <c r="B40" s="24" t="inlineStr">
        <is>
          <t>NEMA17 Motor 17HS15-1504S1</t>
        </is>
      </c>
      <c r="C40" s="24" t="n"/>
      <c r="D40" s="24" t="inlineStr">
        <is>
          <t>3</t>
        </is>
      </c>
      <c r="E40" s="24" t="inlineStr">
        <is>
          <t>All</t>
        </is>
      </c>
      <c r="F40" s="25">
        <f>HYPERLINK("https://www.omc-stepperonline.com/nema-17-bipolar-45ncm-63-74oz-in-1-5a-42x42x39mm-4-wires-w-1m-cable-and-connector.html","Stepper Online")</f>
        <v/>
      </c>
      <c r="G40" s="24" t="n"/>
      <c r="H40" s="26">
        <f>HYPERLINK("https://www.aliexpress.com/item/32589488227.html","Stepper Online")</f>
        <v/>
      </c>
      <c r="I40" s="24" t="n"/>
      <c r="J40" s="24" t="inlineStr">
        <is>
          <t>X (X, Z and Y)</t>
        </is>
      </c>
      <c r="K40" s="24" t="n"/>
      <c r="L40" s="24" t="n"/>
      <c r="M40" s="24" t="n"/>
      <c r="N40" s="24" t="n"/>
      <c r="O40" s="24" t="n"/>
      <c r="P40" s="24" t="n"/>
      <c r="Q40" s="28" t="inlineStr">
        <is>
          <t>all links were dead</t>
        </is>
      </c>
    </row>
    <row r="41">
      <c r="A41" s="24" t="inlineStr">
        <is>
          <t>Electronics</t>
        </is>
      </c>
      <c r="B41" s="24" t="inlineStr">
        <is>
          <t>Mean Well LRS-350-24 PSU</t>
        </is>
      </c>
      <c r="C41" s="24" t="n"/>
      <c r="D41" s="24" t="inlineStr">
        <is>
          <t>1</t>
        </is>
      </c>
      <c r="E41" s="24" t="inlineStr">
        <is>
          <t>All</t>
        </is>
      </c>
      <c r="F41" s="24" t="inlineStr">
        <is>
          <t>X</t>
        </is>
      </c>
      <c r="G41" s="24" t="n"/>
      <c r="H41" s="24" t="n"/>
      <c r="I41" s="24" t="n"/>
      <c r="J41" s="24" t="n"/>
      <c r="K41" s="24" t="n"/>
      <c r="L41" s="24" t="n"/>
      <c r="M41" s="24" t="n"/>
      <c r="N41" s="24" t="n"/>
      <c r="O41" s="24" t="n"/>
      <c r="P41" s="27" t="inlineStr">
        <is>
          <t>Do not cheap out on this. Get a legitimate MeanWell PSU. For regions that mandate PFC use the MeanWell RSP-200-24 instead of the LRS-200-24.</t>
        </is>
      </c>
      <c r="Q41" s="24" t="n"/>
    </row>
    <row r="42">
      <c r="A42" s="24" t="inlineStr">
        <is>
          <t>Electronics</t>
        </is>
      </c>
      <c r="B42" s="24" t="inlineStr">
        <is>
          <t>Meanwell RS-25-5 PSU</t>
        </is>
      </c>
      <c r="C42" s="24" t="n"/>
      <c r="D42" s="24" t="inlineStr">
        <is>
          <t>1</t>
        </is>
      </c>
      <c r="E42" s="24" t="inlineStr">
        <is>
          <t>All</t>
        </is>
      </c>
      <c r="F42" s="25">
        <f>HYPERLINK("https://www.digikey.com/product-detail/en/mean-well-usa-inc/RS-25-5/1866-4145-ND/7706180","Digikey")</f>
        <v/>
      </c>
      <c r="G42" s="24" t="n"/>
      <c r="H42" s="24" t="n"/>
      <c r="I42" s="24" t="n"/>
      <c r="J42" s="24" t="n"/>
      <c r="K42" s="24" t="n"/>
      <c r="L42" s="24" t="n"/>
      <c r="M42" s="24" t="n"/>
      <c r="N42" s="24" t="n"/>
      <c r="O42" s="24" t="n"/>
      <c r="P42" s="27" t="inlineStr">
        <is>
          <t>Do not cheap out on this. Get a legitimate MeanWell PSU.</t>
        </is>
      </c>
      <c r="Q42" s="24" t="n"/>
    </row>
    <row r="43">
      <c r="A43" s="24" t="inlineStr">
        <is>
          <t>Electronics</t>
        </is>
      </c>
      <c r="B43" s="24" t="inlineStr">
        <is>
          <t>ZF - Rocker Switches DPST 16A ON-OFF</t>
        </is>
      </c>
      <c r="C43" s="24" t="n"/>
      <c r="D43" s="24" t="inlineStr">
        <is>
          <t>1</t>
        </is>
      </c>
      <c r="E43" s="24" t="inlineStr">
        <is>
          <t>All</t>
        </is>
      </c>
      <c r="F43" s="25">
        <f>HYPERLINK("https://www.digikey.com/products/en","Digikey (no Light)")</f>
        <v/>
      </c>
      <c r="G43" s="24" t="n"/>
      <c r="H43" s="26">
        <f>HYPERLINK("https://www.mouser.com/ProductDetail/ZF/WRG32F2BBRLN?qs=%2Fha2pyFadugTPgk3aI89ZNgIRYXUDJ2iew%252BR%252BPzJE%2FSagvnd6sid0w%3D%3D","Mouser (Red Light)")</f>
        <v/>
      </c>
      <c r="I43" s="24" t="n"/>
      <c r="J43" s="24" t="n"/>
      <c r="K43" s="24" t="n"/>
      <c r="L43" s="24" t="n"/>
      <c r="M43" s="24" t="n"/>
      <c r="N43" s="24" t="n"/>
      <c r="O43" s="24" t="n"/>
      <c r="P43" s="27" t="inlineStr">
        <is>
          <t>Note the Mouser (Red Light) only has a 125v indicator in it. For 220/240 countries use the no light model</t>
        </is>
      </c>
      <c r="Q43" s="24" t="n"/>
    </row>
    <row r="44">
      <c r="A44" s="24" t="inlineStr">
        <is>
          <t>Electronics</t>
        </is>
      </c>
      <c r="B44" s="24" t="inlineStr">
        <is>
          <t>Fuse Medium Time Delay Acting 8A 250V Holder Cartridge 5 X 20mm Glass</t>
        </is>
      </c>
      <c r="C44" s="24" t="n"/>
      <c r="D44" s="24" t="inlineStr">
        <is>
          <t>2</t>
        </is>
      </c>
      <c r="E44" s="24" t="inlineStr">
        <is>
          <t>All</t>
        </is>
      </c>
      <c r="F44" s="25">
        <f>HYPERLINK("https://www.digikey.com/products/en","Digikey")</f>
        <v/>
      </c>
      <c r="G44" s="24" t="n"/>
      <c r="H44" s="24" t="n"/>
      <c r="I44" s="24" t="n"/>
      <c r="J44" s="24" t="n"/>
      <c r="K44" s="24" t="n"/>
      <c r="L44" s="24" t="n"/>
      <c r="M44" s="24" t="n"/>
      <c r="N44" s="24" t="n"/>
      <c r="O44" s="24" t="n"/>
      <c r="P44" s="24" t="n"/>
      <c r="Q44" s="24" t="n"/>
    </row>
    <row r="45">
      <c r="A45" s="24" t="inlineStr">
        <is>
          <t>Electronics</t>
        </is>
      </c>
      <c r="B45" s="24" t="inlineStr">
        <is>
          <t>Fuse Medium Time Delay Acting 4A 250V Holder Cartridge 5 X 20mm Glass</t>
        </is>
      </c>
      <c r="C45" s="24" t="n"/>
      <c r="D45" s="24" t="inlineStr">
        <is>
          <t>2</t>
        </is>
      </c>
      <c r="E45" s="24" t="inlineStr">
        <is>
          <t>All</t>
        </is>
      </c>
      <c r="F45" s="25">
        <f>HYPERLINK("https://www.digikey.com/en/products/detail/littelfuse-inc/0232004-MXP/778023","Digikey")</f>
        <v/>
      </c>
      <c r="G45" s="24" t="n"/>
      <c r="H45" s="24" t="n"/>
      <c r="I45" s="24" t="n"/>
      <c r="J45" s="24" t="n"/>
      <c r="K45" s="24" t="n"/>
      <c r="L45" s="24" t="n"/>
      <c r="M45" s="24" t="n"/>
      <c r="N45" s="24" t="n"/>
      <c r="O45" s="24" t="n"/>
      <c r="P45" s="27" t="inlineStr">
        <is>
          <t>For areas with 220V mains systems. Digikey can be expensive for EU customers, and this part can often be found cheaper at a local hardware or automotive store.</t>
        </is>
      </c>
      <c r="Q45" s="24" t="n"/>
    </row>
    <row r="46">
      <c r="A46" s="24" t="inlineStr">
        <is>
          <t>Electronics</t>
        </is>
      </c>
      <c r="B46" s="24" t="inlineStr">
        <is>
          <t>TycoElectronics - 10EGG1-2 (Normal) or 10EHG1-2 (Medical): Filtered Power Inlet</t>
        </is>
      </c>
      <c r="C46" s="24" t="n"/>
      <c r="D46" s="24" t="inlineStr">
        <is>
          <t>1</t>
        </is>
      </c>
      <c r="E46" s="24" t="inlineStr">
        <is>
          <t>All</t>
        </is>
      </c>
      <c r="F46" s="25">
        <f>HYPERLINK("https://www.digikey.com/products/en","Digikey")</f>
        <v/>
      </c>
      <c r="G46" s="24" t="n"/>
      <c r="H46" s="26">
        <f>HYPERLINK("https://www.mouser.com/ProductDetail/TE-Connectivity-PB/10EGG1-2?qs=vcjNRp8H9z2nhEkRL4AXYw%3D%3D","Mouser")</f>
        <v/>
      </c>
      <c r="I46" s="24" t="n"/>
      <c r="J46" s="24" t="n"/>
      <c r="K46" s="24" t="n"/>
      <c r="L46" s="24" t="n"/>
      <c r="M46" s="24" t="n"/>
      <c r="N46" s="24" t="n"/>
      <c r="O46" s="24" t="n"/>
      <c r="P46" s="27" t="inlineStr">
        <is>
          <t>For European dual-fuse builds</t>
        </is>
      </c>
      <c r="Q46" s="24" t="n"/>
    </row>
    <row r="47">
      <c r="A47" s="24" t="inlineStr">
        <is>
          <t>Electronics</t>
        </is>
      </c>
      <c r="B47" s="24" t="inlineStr">
        <is>
          <t>TycoElectronics - 10EGG1-1 (Normal) or 10EHG1-1 (Medical): Filtered Power Inlet</t>
        </is>
      </c>
      <c r="C47" s="24" t="n"/>
      <c r="D47" s="24" t="inlineStr">
        <is>
          <t>1</t>
        </is>
      </c>
      <c r="E47" s="24" t="inlineStr">
        <is>
          <t>All</t>
        </is>
      </c>
      <c r="F47" s="25">
        <f>HYPERLINK("https://www.digikey.com/en/products/detail/te-connectivity-corcom-filters/3-1609115-4/2032295","Digikey")</f>
        <v/>
      </c>
      <c r="G47" s="24" t="n"/>
      <c r="H47" s="26">
        <f>HYPERLINK("https://www.mouser.com/ProductDetail/TE-Connectivity-PB/10EGG1-1?qs=vcjNRp8H9z1CsIf%2F5OknUw%3D%3D","Mouser")</f>
        <v/>
      </c>
      <c r="I47" s="24" t="n"/>
      <c r="J47" s="24" t="n"/>
      <c r="K47" s="24" t="n"/>
      <c r="L47" s="24" t="n"/>
      <c r="M47" s="24" t="n"/>
      <c r="N47" s="24" t="n"/>
      <c r="O47" s="24" t="n"/>
      <c r="P47" s="27" t="inlineStr">
        <is>
          <t>For North American &amp; UK single-fuse builds</t>
        </is>
      </c>
      <c r="Q47" s="24" t="n"/>
    </row>
    <row r="48">
      <c r="A48" s="24" t="inlineStr">
        <is>
          <t>Electronics</t>
        </is>
      </c>
      <c r="B48" s="24" t="inlineStr">
        <is>
          <t>IEC320 C14 Inlet - Push-fit - w/ Rocker Switch &amp; Fuse</t>
        </is>
      </c>
      <c r="C48" s="24" t="n"/>
      <c r="D48" s="24" t="inlineStr">
        <is>
          <t>1</t>
        </is>
      </c>
      <c r="E48" s="24" t="inlineStr">
        <is>
          <t>All</t>
        </is>
      </c>
      <c r="F48" s="25">
        <f>HYPERLINK("https://www.digikey.com/en/products/detail/adam-tech/IEC-GS-1-100/9831135","See note for PiF Digikey")</f>
        <v/>
      </c>
      <c r="G48" s="24" t="n"/>
      <c r="H48" s="24" t="n"/>
      <c r="I48" s="24" t="n"/>
      <c r="J48" s="24" t="n"/>
      <c r="K48" s="24" t="n"/>
      <c r="L48" s="24" t="n"/>
      <c r="M48" s="24" t="n"/>
      <c r="N48" s="24" t="n"/>
      <c r="O48" s="24" t="n"/>
      <c r="P48" s="27" t="inlineStr">
        <is>
          <t>If you are getting PiF parts you will need the filtered inlet and switch</t>
        </is>
      </c>
      <c r="Q48" s="24" t="n"/>
    </row>
    <row r="49">
      <c r="A49" s="24" t="inlineStr">
        <is>
          <t>Electronics</t>
        </is>
      </c>
      <c r="B49" s="24" t="inlineStr">
        <is>
          <t>40x40x10 Axial Fan - Ball Bearing (24V)</t>
        </is>
      </c>
      <c r="C49" s="24" t="n"/>
      <c r="D49" s="24" t="inlineStr">
        <is>
          <t>1</t>
        </is>
      </c>
      <c r="E49" s="24" t="inlineStr">
        <is>
          <t>All</t>
        </is>
      </c>
      <c r="F49" s="25">
        <f>HYPERLINK("https://www.aliexpress.com/item/32868163248.html","Aliexpress")</f>
        <v/>
      </c>
      <c r="G49" s="26">
        <f>HYPERLINK("https://s.click.aliexpress.com/e/_AUbIY8","[Affiliate Link]")</f>
        <v/>
      </c>
      <c r="H49" s="26">
        <f>HYPERLINK("https://www.aliexpress.com/item/32726640438.html","GDSTIME")</f>
        <v/>
      </c>
      <c r="I49" s="26">
        <f>HYPERLINK("https://s.click.aliexpress.com/e/_d8MBoAW","[Affiliate Link]")</f>
        <v/>
      </c>
      <c r="J49" s="26">
        <f>HYPERLINK("https://www.aliexpress.com/item/32727867521.html","GDSTIME (Aliexpress)")</f>
        <v/>
      </c>
      <c r="K49" s="26">
        <f>HYPERLINK("https://s.click.aliexpress.com/e/_d8MBoAW","[Affiliate Link]")</f>
        <v/>
      </c>
      <c r="L49" s="26">
        <f>HYPERLINK("https://www.amazon.com/dp/B07DB5H6K1","Amazon")</f>
        <v/>
      </c>
      <c r="M49" s="26">
        <f>HYPERLINK("https://s.click.aliexpress.com/e/_d8MBoAW","AliExpress")</f>
        <v/>
      </c>
      <c r="N49" s="24" t="inlineStr">
        <is>
          <t>X (it's 5V)</t>
        </is>
      </c>
      <c r="O49" s="24" t="n"/>
      <c r="P49" s="27" t="inlineStr">
        <is>
          <t>Delta or Sunon are preferred brands</t>
        </is>
      </c>
      <c r="Q49" s="24" t="n"/>
    </row>
    <row r="50">
      <c r="A50" s="24" t="inlineStr">
        <is>
          <t>Electronics</t>
        </is>
      </c>
      <c r="B50" s="24" t="inlineStr">
        <is>
          <t>40x40x20 Centrifugal Blower Fan - Ball Bearing (24V)</t>
        </is>
      </c>
      <c r="C50" s="24" t="n"/>
      <c r="D50" s="24" t="inlineStr">
        <is>
          <t>1</t>
        </is>
      </c>
      <c r="E50" s="24" t="inlineStr">
        <is>
          <t>All</t>
        </is>
      </c>
      <c r="F50" s="25">
        <f>HYPERLINK("https://www.aliexpress.com/item/1005001464730686.html","GDSTIME")</f>
        <v/>
      </c>
      <c r="G50" s="26">
        <f>HYPERLINK("https://s.click.aliexpress.com/e/_dZ3Fq0i","[Affiliate Link]")</f>
        <v/>
      </c>
      <c r="H50" s="26">
        <f>HYPERLINK("https://www.aliexpress.com/item/32867138904.html","Aliexpress")</f>
        <v/>
      </c>
      <c r="I50" s="24" t="n"/>
      <c r="J50" s="26">
        <f>HYPERLINK("https://www.amazon.com/dp/B07L2YH79Y","Amazon")</f>
        <v/>
      </c>
      <c r="K50" s="24" t="n"/>
      <c r="L50" s="26">
        <f>HYPERLINK("https://www.amazon.com/dp/B07L2XZKS7","Amazon")</f>
        <v/>
      </c>
      <c r="M50" s="26">
        <f>HYPERLINK("https://s.click.aliexpress.com/e/_dZ3Fq0i","AliExpress")</f>
        <v/>
      </c>
      <c r="N50" s="24" t="inlineStr">
        <is>
          <t>Need 5v if using Einsy</t>
        </is>
      </c>
      <c r="O50" s="24" t="n"/>
      <c r="P50" s="24" t="n"/>
      <c r="Q50" s="24" t="n"/>
    </row>
    <row r="51">
      <c r="A51" s="24" t="inlineStr">
        <is>
          <t>Electronics</t>
        </is>
      </c>
      <c r="B51" s="24" t="inlineStr">
        <is>
          <t>60x60x20 Axial Fan (24V)</t>
        </is>
      </c>
      <c r="C51" s="24" t="n"/>
      <c r="D51" s="24" t="inlineStr">
        <is>
          <t>1</t>
        </is>
      </c>
      <c r="E51" s="24" t="inlineStr">
        <is>
          <t>All</t>
        </is>
      </c>
      <c r="F51" s="25">
        <f>HYPERLINK("https://www.digikey.com/product-detail/en/orion-fans/OD6020-24HB/1053-1234-ND/2621139","DigiKey")</f>
        <v/>
      </c>
      <c r="G51" s="24" t="n"/>
      <c r="H51" s="26">
        <f>HYPERLINK("https://www.aliexpress.com/item/32899594270.html","GDSTIME")</f>
        <v/>
      </c>
      <c r="I51" s="26">
        <f>HYPERLINK("https://s.click.aliexpress.com/e/_d67FlLy","[Affiliate Link]")</f>
        <v/>
      </c>
      <c r="J51" s="24" t="inlineStr">
        <is>
          <t>Need a mosfet to drive</t>
        </is>
      </c>
      <c r="K51" s="24" t="n"/>
      <c r="L51" s="24" t="n"/>
      <c r="M51" s="24" t="n"/>
      <c r="N51" s="24" t="n"/>
      <c r="O51" s="24" t="n"/>
      <c r="P51" s="24" t="n"/>
      <c r="Q51" s="28" t="inlineStr">
        <is>
          <t>some links were dead</t>
        </is>
      </c>
    </row>
    <row r="52">
      <c r="A52" s="5" t="inlineStr">
        <is>
          <t>Controller</t>
        </is>
      </c>
      <c r="B52" s="5" t="inlineStr">
        <is>
          <t>RaspberryPi4</t>
        </is>
      </c>
      <c r="C52" s="5" t="n"/>
      <c r="D52" s="5" t="inlineStr">
        <is>
          <t>1</t>
        </is>
      </c>
      <c r="E52" s="5" t="inlineStr">
        <is>
          <t>All</t>
        </is>
      </c>
      <c r="F52" s="6">
        <f>HYPERLINK("https://www.amazon.com/dp/B07TD42S27","Amazon")</f>
        <v/>
      </c>
      <c r="G52" s="5" t="n"/>
      <c r="H52" s="5" t="n"/>
      <c r="I52" s="5" t="n"/>
      <c r="J52" s="5" t="n"/>
      <c r="K52" s="5" t="n"/>
      <c r="L52" s="5" t="n"/>
      <c r="M52" s="5" t="n"/>
      <c r="N52" s="5" t="n"/>
      <c r="O52" s="5" t="n"/>
      <c r="P52" s="5" t="n"/>
      <c r="Q52" s="5" t="n"/>
    </row>
    <row r="53">
      <c r="A53" s="5" t="inlineStr">
        <is>
          <t>Controller</t>
        </is>
      </c>
      <c r="B53" s="5" t="inlineStr">
        <is>
          <t>MicroSD Card</t>
        </is>
      </c>
      <c r="C53" s="5" t="n"/>
      <c r="D53" s="5" t="inlineStr">
        <is>
          <t>1</t>
        </is>
      </c>
      <c r="E53" s="5" t="inlineStr">
        <is>
          <t>All</t>
        </is>
      </c>
      <c r="F53" s="6">
        <f>HYPERLINK("https://www.amazon.com/dp/B073JYVKNX","Amazon (64gb)")</f>
        <v/>
      </c>
      <c r="G53" s="5" t="n"/>
      <c r="H53" s="7">
        <f>HYPERLINK("https://www.amazon.com/dp/B0749KG1JK","Amazon (32gb)")</f>
        <v/>
      </c>
      <c r="I53" s="5" t="n"/>
      <c r="J53" s="7">
        <f>HYPERLINK("https://amzn.to/2PDYXWX","Amazon")</f>
        <v/>
      </c>
      <c r="K53" s="5" t="n"/>
      <c r="L53" s="5" t="n"/>
      <c r="M53" s="5" t="n"/>
      <c r="N53" s="5" t="n"/>
      <c r="O53" s="5" t="n"/>
      <c r="P53" s="5" t="n"/>
      <c r="Q53" s="5" t="n"/>
    </row>
    <row r="54">
      <c r="A54" s="5" t="inlineStr">
        <is>
          <t>Controller</t>
        </is>
      </c>
      <c r="B54" s="5" t="inlineStr">
        <is>
          <t>USB C Power Cable</t>
        </is>
      </c>
      <c r="C54" s="5" t="n"/>
      <c r="D54" s="5" t="inlineStr">
        <is>
          <t>1</t>
        </is>
      </c>
      <c r="E54" s="5" t="inlineStr">
        <is>
          <t>All</t>
        </is>
      </c>
      <c r="F54" s="6">
        <f>HYPERLINK("https://www.amazon.com/dp/B01GGKYKQM","Amazon")</f>
        <v/>
      </c>
      <c r="G54" s="5" t="n"/>
      <c r="H54" s="5" t="n"/>
      <c r="I54" s="5" t="n"/>
      <c r="J54" s="5" t="n"/>
      <c r="K54" s="5" t="n"/>
      <c r="L54" s="5" t="n"/>
      <c r="M54" s="5" t="n"/>
      <c r="N54" s="5" t="n"/>
      <c r="O54" s="5" t="n"/>
      <c r="P54" s="8" t="inlineStr">
        <is>
          <t>to get power from the RS-25-5 to the Pi, you can use a spare from around the house</t>
        </is>
      </c>
      <c r="Q54" s="5" t="n"/>
    </row>
    <row r="55">
      <c r="A55" s="24" t="inlineStr">
        <is>
          <t>Electronics</t>
        </is>
      </c>
      <c r="B55" s="24" t="inlineStr">
        <is>
          <t>SKR Mini E3 V2</t>
        </is>
      </c>
      <c r="C55" s="24" t="n"/>
      <c r="D55" s="24" t="inlineStr">
        <is>
          <t>1</t>
        </is>
      </c>
      <c r="E55" s="24" t="inlineStr">
        <is>
          <t>All</t>
        </is>
      </c>
      <c r="F55" s="24" t="inlineStr">
        <is>
          <t>X (Einsy Rambo)</t>
        </is>
      </c>
      <c r="G55" s="24" t="n"/>
      <c r="H55" s="24" t="n"/>
      <c r="I55" s="24" t="n"/>
      <c r="J55" s="24" t="n"/>
      <c r="K55" s="24" t="n"/>
      <c r="L55" s="24" t="n"/>
      <c r="M55" s="24" t="n"/>
      <c r="N55" s="24" t="n"/>
      <c r="O55" s="24" t="n"/>
      <c r="P55" s="24" t="n"/>
      <c r="Q55" s="28" t="inlineStr">
        <is>
          <t>all links were dead</t>
        </is>
      </c>
    </row>
    <row r="56">
      <c r="A56" s="24" t="inlineStr">
        <is>
          <t>Electronics</t>
        </is>
      </c>
      <c r="B56" s="24" t="inlineStr">
        <is>
          <t>USB Cable A-male Mini B-male (1 Included with SKR Mini)</t>
        </is>
      </c>
      <c r="C56" s="24" t="n"/>
      <c r="D56" s="24" t="inlineStr">
        <is>
          <t>2</t>
        </is>
      </c>
      <c r="E56" s="24" t="inlineStr">
        <is>
          <t>All</t>
        </is>
      </c>
      <c r="F56" s="24" t="n"/>
      <c r="G56" s="24" t="n"/>
      <c r="H56" s="24" t="n"/>
      <c r="I56" s="24" t="n"/>
      <c r="J56" s="24" t="n"/>
      <c r="K56" s="24" t="n"/>
      <c r="L56" s="24" t="n"/>
      <c r="M56" s="24" t="n"/>
      <c r="N56" s="24" t="n"/>
      <c r="O56" s="24" t="n"/>
      <c r="P56" s="27" t="inlineStr">
        <is>
          <t>Most SKR kits come with a cable so this part is likely unnecessary as a separate purchase. Double check your purchase history.</t>
        </is>
      </c>
      <c r="Q56" s="24" t="n"/>
    </row>
    <row r="57">
      <c r="A57" s="24" t="inlineStr">
        <is>
          <t>Electronics</t>
        </is>
      </c>
      <c r="B57" s="24" t="inlineStr">
        <is>
          <t>MOSFET Trigger Switch Drive Module</t>
        </is>
      </c>
      <c r="C57" s="24" t="n"/>
      <c r="D57" s="24" t="inlineStr">
        <is>
          <t>2</t>
        </is>
      </c>
      <c r="E57" s="24" t="inlineStr">
        <is>
          <t>All</t>
        </is>
      </c>
      <c r="F57" s="24" t="n"/>
      <c r="G57" s="24" t="n"/>
      <c r="H57" s="24" t="n"/>
      <c r="I57" s="24" t="n"/>
      <c r="J57" s="24" t="n"/>
      <c r="K57" s="24" t="n"/>
      <c r="L57" s="24" t="n"/>
      <c r="M57" s="24" t="n"/>
      <c r="N57" s="24" t="n"/>
      <c r="O57" s="24" t="n"/>
      <c r="P57" s="24" t="n"/>
      <c r="Q57" s="24" t="n"/>
    </row>
    <row r="58">
      <c r="A58" s="5" t="inlineStr">
        <is>
          <t>Controller</t>
        </is>
      </c>
      <c r="B58" s="5" t="inlineStr">
        <is>
          <t>Mini 12864 Display (Type B)</t>
        </is>
      </c>
      <c r="C58" s="5" t="n"/>
      <c r="D58" s="5" t="inlineStr">
        <is>
          <t>1</t>
        </is>
      </c>
      <c r="E58" s="5" t="inlineStr">
        <is>
          <t>All</t>
        </is>
      </c>
      <c r="F58" s="6">
        <f>HYPERLINK("https://www.aliexpress.com/item/32980210325.html","Fysetc")</f>
        <v/>
      </c>
      <c r="G58" s="7">
        <f>HYPERLINK("https://s.click.aliexpress.com/e/_d7ByDeP","[Affiliate Link]")</f>
        <v/>
      </c>
      <c r="H58" s="7">
        <f>HYPERLINK("https://s.click.aliexpress.com/e/_d7ByDeP","AliExpress")</f>
        <v/>
      </c>
      <c r="I58" s="5" t="n"/>
      <c r="J58" s="5" t="inlineStr">
        <is>
          <t>X (2004 Reprap Display)</t>
        </is>
      </c>
      <c r="K58" s="5" t="n"/>
      <c r="L58" s="5" t="n"/>
      <c r="M58" s="5" t="n"/>
      <c r="N58" s="5" t="n"/>
      <c r="O58" s="5" t="n"/>
      <c r="P58" s="5" t="n"/>
      <c r="Q58" s="5" t="n"/>
    </row>
    <row r="59">
      <c r="A59" s="30" t="inlineStr">
        <is>
          <t>Frame</t>
        </is>
      </c>
      <c r="B59" s="30" t="inlineStr">
        <is>
          <t>Misumi 3060 x 520mm - HFSB6-3060-520-AH105-BH415-AV180</t>
        </is>
      </c>
      <c r="C59" s="30" t="n"/>
      <c r="D59" s="30" t="inlineStr">
        <is>
          <t>2</t>
        </is>
      </c>
      <c r="E59" s="30" t="inlineStr">
        <is>
          <t>All</t>
        </is>
      </c>
      <c r="F59" s="30" t="n"/>
      <c r="G59" s="30" t="n"/>
      <c r="H59" s="30" t="n"/>
      <c r="I59" s="30" t="n"/>
      <c r="J59" s="30" t="n"/>
      <c r="K59" s="30" t="n"/>
      <c r="L59" s="30" t="n"/>
      <c r="M59" s="30" t="n"/>
      <c r="N59" s="30" t="n"/>
      <c r="O59" s="30" t="n"/>
      <c r="P59" s="30" t="n"/>
      <c r="Q59" s="30" t="n"/>
    </row>
    <row r="60">
      <c r="A60" s="30" t="inlineStr">
        <is>
          <t>Frame</t>
        </is>
      </c>
      <c r="B60" s="30" t="inlineStr">
        <is>
          <t>Misumi 3030 x 400mm - HFSB6-3030-400-TPW</t>
        </is>
      </c>
      <c r="C60" s="30" t="n"/>
      <c r="D60" s="30" t="inlineStr">
        <is>
          <t>2</t>
        </is>
      </c>
      <c r="E60" s="30" t="inlineStr">
        <is>
          <t>All</t>
        </is>
      </c>
      <c r="F60" s="30" t="n"/>
      <c r="G60" s="30" t="n"/>
      <c r="H60" s="30" t="n"/>
      <c r="I60" s="30" t="n"/>
      <c r="J60" s="30" t="n"/>
      <c r="K60" s="30" t="n"/>
      <c r="L60" s="30" t="n"/>
      <c r="M60" s="30" t="n"/>
      <c r="N60" s="30" t="n"/>
      <c r="O60" s="30" t="n"/>
      <c r="P60" s="30" t="n"/>
      <c r="Q60" s="30" t="n"/>
    </row>
    <row r="61">
      <c r="A61" s="30" t="inlineStr">
        <is>
          <t>Frame</t>
        </is>
      </c>
      <c r="B61" s="30" t="inlineStr">
        <is>
          <t>Misumi 3030 x 360mm - HFSB6-3030-360-LCH-RCH</t>
        </is>
      </c>
      <c r="C61" s="30" t="n"/>
      <c r="D61" s="30" t="inlineStr">
        <is>
          <t>1</t>
        </is>
      </c>
      <c r="E61" s="30" t="inlineStr">
        <is>
          <t>All</t>
        </is>
      </c>
      <c r="F61" s="30" t="n"/>
      <c r="G61" s="30" t="n"/>
      <c r="H61" s="30" t="n"/>
      <c r="I61" s="30" t="n"/>
      <c r="J61" s="30" t="n"/>
      <c r="K61" s="30" t="n"/>
      <c r="L61" s="30" t="n"/>
      <c r="M61" s="30" t="n"/>
      <c r="N61" s="30" t="n"/>
      <c r="O61" s="30" t="n"/>
      <c r="P61" s="30" t="n"/>
      <c r="Q61" s="30" t="n"/>
    </row>
    <row r="62">
      <c r="A62" s="30" t="inlineStr">
        <is>
          <t>Frame</t>
        </is>
      </c>
      <c r="B62" s="30" t="inlineStr">
        <is>
          <t>Misumi 3030 x 300mm - HFSB6-3030-300-TPW</t>
        </is>
      </c>
      <c r="C62" s="30" t="n"/>
      <c r="D62" s="30" t="inlineStr">
        <is>
          <t>2</t>
        </is>
      </c>
      <c r="E62" s="30" t="inlineStr">
        <is>
          <t>All</t>
        </is>
      </c>
      <c r="F62" s="30" t="n"/>
      <c r="G62" s="30" t="n"/>
      <c r="H62" s="30" t="n"/>
      <c r="I62" s="30" t="n"/>
      <c r="J62" s="30" t="n"/>
      <c r="K62" s="30" t="n"/>
      <c r="L62" s="30" t="n"/>
      <c r="M62" s="30" t="n"/>
      <c r="N62" s="30" t="n"/>
      <c r="O62" s="30" t="n"/>
      <c r="P62" s="30" t="n"/>
      <c r="Q62" s="30" t="n"/>
    </row>
    <row r="63">
      <c r="A63" s="30" t="inlineStr">
        <is>
          <t>Frame</t>
        </is>
      </c>
      <c r="B63" s="30" t="inlineStr">
        <is>
          <t>Misumi 2020 x 340mm - HFSB5-2020-340-AH15-BH325</t>
        </is>
      </c>
      <c r="C63" s="30" t="n"/>
      <c r="D63" s="30" t="inlineStr">
        <is>
          <t>1</t>
        </is>
      </c>
      <c r="E63" s="30" t="inlineStr">
        <is>
          <t>All</t>
        </is>
      </c>
      <c r="F63" s="30" t="n"/>
      <c r="G63" s="30" t="n"/>
      <c r="H63" s="30" t="n"/>
      <c r="I63" s="30" t="n"/>
      <c r="J63" s="30" t="n"/>
      <c r="K63" s="30" t="n"/>
      <c r="L63" s="30" t="n"/>
      <c r="M63" s="30" t="n"/>
      <c r="N63" s="30" t="n"/>
      <c r="O63" s="30" t="n"/>
      <c r="P63" s="34" t="inlineStr">
        <is>
          <t>Currently Misumi is out of stock of black 2020 extrusions. You can order 'silver' extrustions from Misumi by replacing the HFSB5 at the begining of the part number with HFS5</t>
        </is>
      </c>
      <c r="Q63" s="30" t="n"/>
    </row>
    <row r="64">
      <c r="A64" s="30" t="inlineStr">
        <is>
          <t>Frame</t>
        </is>
      </c>
      <c r="B64" s="30" t="inlineStr">
        <is>
          <t>HFSB5-2020-340</t>
        </is>
      </c>
      <c r="C64" s="30" t="inlineStr">
        <is>
          <t>D</t>
        </is>
      </c>
      <c r="D64" s="30" t="inlineStr">
        <is>
          <t>1</t>
        </is>
      </c>
      <c r="E64" s="30" t="inlineStr">
        <is>
          <t>All</t>
        </is>
      </c>
      <c r="F64" s="32">
        <f>HYPERLINK("https://us.misumi-ec.com/vona2/detail/110302683830?HissuCode=HFSB5-2020-340&amp;Keyword=HFSB5-2020-340&amp;PNSearch=HFSB5-2020-340&amp;searchFlow=suggest2products","Misumi")</f>
        <v/>
      </c>
      <c r="G64" s="30" t="n"/>
      <c r="H64" s="30" t="n"/>
      <c r="I64" s="30" t="n"/>
      <c r="J64" s="30" t="n"/>
      <c r="K64" s="30" t="n"/>
      <c r="L64" s="30" t="n"/>
      <c r="M64" s="30" t="n"/>
      <c r="N64" s="30" t="n"/>
      <c r="O64" s="30" t="n"/>
      <c r="P64" s="30" t="n"/>
      <c r="Q64" s="30" t="n"/>
    </row>
    <row r="65">
      <c r="A65" s="35" t="inlineStr">
        <is>
          <t>Misc</t>
        </is>
      </c>
      <c r="B65" s="35" t="inlineStr">
        <is>
          <t>Bowden Tube (4mm OD, 3mm ID) optional for reverse bowden</t>
        </is>
      </c>
      <c r="C65" s="35" t="n"/>
      <c r="D65" s="35" t="inlineStr">
        <is>
          <t>3m</t>
        </is>
      </c>
      <c r="E65" s="35" t="inlineStr">
        <is>
          <t>All</t>
        </is>
      </c>
      <c r="F65" s="35" t="n"/>
      <c r="G65" s="35" t="n"/>
      <c r="H65" s="35" t="n"/>
      <c r="I65" s="35" t="n"/>
      <c r="J65" s="35" t="n"/>
      <c r="K65" s="35" t="n"/>
      <c r="L65" s="35" t="n"/>
      <c r="M65" s="35" t="n"/>
      <c r="N65" s="35" t="n"/>
      <c r="O65" s="35" t="n"/>
      <c r="P65" s="37" t="inlineStr">
        <is>
          <t>4mm OD, 2mm ID, get 10m of the first supplier, its cheap and is a wear item</t>
        </is>
      </c>
      <c r="Q65" s="38" t="inlineStr">
        <is>
          <t>all links were dead</t>
        </is>
      </c>
    </row>
    <row r="66">
      <c r="A66" s="35" t="inlineStr">
        <is>
          <t>Misc</t>
        </is>
      </c>
      <c r="B66" s="35" t="inlineStr">
        <is>
          <t>Bowden Tube (4mm OD, 2mm ID)</t>
        </is>
      </c>
      <c r="C66" s="35" t="n"/>
      <c r="D66" s="35" t="inlineStr">
        <is>
          <t>30mm</t>
        </is>
      </c>
      <c r="E66" s="35" t="inlineStr">
        <is>
          <t>All</t>
        </is>
      </c>
      <c r="F66" s="35" t="n"/>
      <c r="G66" s="35" t="n"/>
      <c r="H66" s="35" t="n"/>
      <c r="I66" s="35" t="n"/>
      <c r="J66" s="35" t="n"/>
      <c r="K66" s="35" t="n"/>
      <c r="L66" s="35" t="n"/>
      <c r="M66" s="35" t="n"/>
      <c r="N66" s="35" t="n"/>
      <c r="O66" s="35" t="n"/>
      <c r="P66" s="37" t="inlineStr">
        <is>
          <t>4mm OD, 2mm ID, get 10m of the first supplier, its cheap and is a wear item</t>
        </is>
      </c>
      <c r="Q66" s="38" t="inlineStr">
        <is>
          <t>all links were dead</t>
        </is>
      </c>
    </row>
    <row r="67">
      <c r="A67" s="35" t="inlineStr">
        <is>
          <t>Misc</t>
        </is>
      </c>
      <c r="B67" s="35" t="inlineStr">
        <is>
          <t>6mm x 3mm Round Neodymium Magnets</t>
        </is>
      </c>
      <c r="C67" s="35" t="n"/>
      <c r="D67" s="35" t="inlineStr">
        <is>
          <t>8</t>
        </is>
      </c>
      <c r="E67" s="35" t="inlineStr">
        <is>
          <t>All</t>
        </is>
      </c>
      <c r="F67" s="35" t="n"/>
      <c r="G67" s="35" t="n"/>
      <c r="H67" s="35" t="n"/>
      <c r="I67" s="35" t="n"/>
      <c r="J67" s="35" t="n"/>
      <c r="K67" s="35" t="n"/>
      <c r="L67" s="35" t="n"/>
      <c r="M67" s="35" t="n"/>
      <c r="N67" s="35" t="n"/>
      <c r="O67" s="35" t="n"/>
      <c r="P67" s="37" t="inlineStr">
        <is>
          <t>Magnets for the front door</t>
        </is>
      </c>
      <c r="Q67" s="38" t="inlineStr">
        <is>
          <t>all links were dead</t>
        </is>
      </c>
    </row>
    <row r="68">
      <c r="A68" s="35" t="inlineStr">
        <is>
          <t>Misc</t>
        </is>
      </c>
      <c r="B68" s="35" t="inlineStr">
        <is>
          <t>BMG Extruder Hardware Kit (if configured with direct feed)</t>
        </is>
      </c>
      <c r="C68" s="35" t="n"/>
      <c r="D68" s="35" t="inlineStr">
        <is>
          <t>1</t>
        </is>
      </c>
      <c r="E68" s="35" t="inlineStr">
        <is>
          <t>All</t>
        </is>
      </c>
      <c r="F68" s="36">
        <f>HYPERLINK("https://www.aliexpress.com/item/4000021186440.html","Aliexpress (TL)")</f>
        <v/>
      </c>
      <c r="G68" s="39">
        <f>HYPERLINK("https://s.click.aliexpress.com/e/_Alji4k","[Affiliate Link]")</f>
        <v/>
      </c>
      <c r="H68" s="39">
        <f>HYPERLINK("https://s.click.aliexpress.com/e/_Alji4k","AliExpress")</f>
        <v/>
      </c>
      <c r="I68" s="35" t="n"/>
      <c r="J68" s="35" t="n"/>
      <c r="K68" s="35" t="n"/>
      <c r="L68" s="35" t="n"/>
      <c r="M68" s="35" t="n"/>
      <c r="N68" s="35" t="n"/>
      <c r="O68" s="35" t="n"/>
      <c r="P68" s="35" t="n"/>
      <c r="Q68" s="35" t="n"/>
    </row>
    <row r="69">
      <c r="A69" s="40" t="inlineStr">
        <is>
          <t>Cables</t>
        </is>
      </c>
      <c r="B69" s="40" t="inlineStr">
        <is>
          <t>Fork Spade Terminal</t>
        </is>
      </c>
      <c r="C69" s="40" t="n"/>
      <c r="D69" s="40" t="inlineStr">
        <is>
          <t>15</t>
        </is>
      </c>
      <c r="E69" s="40" t="inlineStr">
        <is>
          <t>All</t>
        </is>
      </c>
      <c r="F69" s="41">
        <f>HYPERLINK("https://www.digikey.com/products/en","Digikey")</f>
        <v/>
      </c>
      <c r="G69" s="40" t="n"/>
      <c r="H69" s="40" t="n"/>
      <c r="I69" s="40" t="n"/>
      <c r="J69" s="40" t="n"/>
      <c r="K69" s="40" t="n"/>
      <c r="L69" s="40" t="n"/>
      <c r="M69" s="40" t="n"/>
      <c r="N69" s="40" t="n"/>
      <c r="O69" s="40" t="n"/>
      <c r="P69" s="42" t="inlineStr">
        <is>
          <t>for power supply</t>
        </is>
      </c>
      <c r="Q69" s="40" t="n"/>
    </row>
    <row r="70">
      <c r="A70" s="40" t="inlineStr">
        <is>
          <t>Cables</t>
        </is>
      </c>
      <c r="B70" s="40" t="inlineStr">
        <is>
          <t>Insulated Crimp Receptical</t>
        </is>
      </c>
      <c r="C70" s="40" t="n"/>
      <c r="D70" s="40" t="inlineStr">
        <is>
          <t>10</t>
        </is>
      </c>
      <c r="E70" s="40" t="inlineStr">
        <is>
          <t>All</t>
        </is>
      </c>
      <c r="F70" s="41">
        <f>HYPERLINK("https://www.digikey.com/products/en","Digikey")</f>
        <v/>
      </c>
      <c r="G70" s="40" t="n"/>
      <c r="H70" s="43">
        <f>HYPERLINK("https://www.digikey.com/product-detail/en/te-connectivity-amp-connectors/2-520181-2/A27804TR-ND/289246","Digikey")</f>
        <v/>
      </c>
      <c r="I70" s="40" t="n"/>
      <c r="J70" s="40" t="n"/>
      <c r="K70" s="40" t="n"/>
      <c r="L70" s="40" t="n"/>
      <c r="M70" s="40" t="n"/>
      <c r="N70" s="40" t="n"/>
      <c r="O70" s="40" t="n"/>
      <c r="P70" s="42" t="inlineStr">
        <is>
          <t>for Power Inlet (6.35mm)</t>
        </is>
      </c>
      <c r="Q70" s="40" t="n"/>
    </row>
    <row r="71">
      <c r="A71" s="40" t="inlineStr">
        <is>
          <t>Cables</t>
        </is>
      </c>
      <c r="B71" s="40" t="inlineStr">
        <is>
          <t>Nylon Cable Ties 4"</t>
        </is>
      </c>
      <c r="C71" s="40" t="n"/>
      <c r="D71" s="40" t="inlineStr">
        <is>
          <t>100</t>
        </is>
      </c>
      <c r="E71" s="40" t="inlineStr">
        <is>
          <t>All</t>
        </is>
      </c>
      <c r="F71" s="41">
        <f>HYPERLINK("https://amzn.to/2mzoRjl","Amazon")</f>
        <v/>
      </c>
      <c r="G71" s="40" t="n"/>
      <c r="H71" s="40" t="n"/>
      <c r="I71" s="40" t="n"/>
      <c r="J71" s="40" t="n"/>
      <c r="K71" s="40" t="n"/>
      <c r="L71" s="40" t="n"/>
      <c r="M71" s="40" t="n"/>
      <c r="N71" s="40" t="n"/>
      <c r="O71" s="40" t="n"/>
      <c r="P71" s="40" t="n"/>
      <c r="Q71" s="40" t="n"/>
    </row>
    <row r="72">
      <c r="A72" s="40" t="inlineStr">
        <is>
          <t>Cables</t>
        </is>
      </c>
      <c r="B72" s="40" t="inlineStr">
        <is>
          <t>MicroFit3 Male Pin (43031-0007)</t>
        </is>
      </c>
      <c r="C72" s="40" t="n"/>
      <c r="D72" s="40" t="inlineStr">
        <is>
          <t>40</t>
        </is>
      </c>
      <c r="E72" s="40" t="inlineStr">
        <is>
          <t>All</t>
        </is>
      </c>
      <c r="F72" s="41">
        <f>HYPERLINK("https://www.digikey.com/products/en","Digikey")</f>
        <v/>
      </c>
      <c r="G72" s="40" t="n"/>
      <c r="H72" s="40" t="n"/>
      <c r="I72" s="40" t="n"/>
      <c r="J72" s="40" t="n"/>
      <c r="K72" s="40" t="n"/>
      <c r="L72" s="40" t="n"/>
      <c r="M72" s="40" t="n"/>
      <c r="N72" s="40" t="n"/>
      <c r="O72" s="40" t="n"/>
      <c r="P72" s="42" t="inlineStr">
        <is>
          <t>This is a good starter kit that has plenty of pins and all of the required connectors. The kit comes with individual part numbers to source individual pieces later if required.</t>
        </is>
      </c>
      <c r="Q72" s="40" t="n"/>
    </row>
    <row r="73">
      <c r="A73" s="40" t="inlineStr">
        <is>
          <t>Cables</t>
        </is>
      </c>
      <c r="B73" s="40" t="inlineStr">
        <is>
          <t>MicroFit3 Female Pin (43030-0007)</t>
        </is>
      </c>
      <c r="C73" s="40" t="n"/>
      <c r="D73" s="40" t="inlineStr">
        <is>
          <t>40</t>
        </is>
      </c>
      <c r="E73" s="40" t="inlineStr">
        <is>
          <t>All</t>
        </is>
      </c>
      <c r="F73" s="41">
        <f>HYPERLINK("https://www.digikey.com/products/en","Digikey")</f>
        <v/>
      </c>
      <c r="G73" s="40" t="n"/>
      <c r="H73" s="40" t="n"/>
      <c r="I73" s="40" t="n"/>
      <c r="J73" s="40" t="n"/>
      <c r="K73" s="40" t="n"/>
      <c r="L73" s="40" t="n"/>
      <c r="M73" s="40" t="n"/>
      <c r="N73" s="40" t="n"/>
      <c r="O73" s="40" t="n"/>
      <c r="P73" s="40" t="n"/>
      <c r="Q73" s="40" t="n"/>
    </row>
    <row r="74">
      <c r="A74" s="40" t="inlineStr">
        <is>
          <t>Cables</t>
        </is>
      </c>
      <c r="B74" s="40" t="inlineStr">
        <is>
          <t>MicroFit Connector Receptacle 4 Position (43645-0400)</t>
        </is>
      </c>
      <c r="C74" s="40" t="n"/>
      <c r="D74" s="40" t="inlineStr">
        <is>
          <t>4</t>
        </is>
      </c>
      <c r="E74" s="40" t="inlineStr">
        <is>
          <t>All</t>
        </is>
      </c>
      <c r="F74" s="41">
        <f>HYPERLINK("https://www.digikey.com/products/en","Digikey")</f>
        <v/>
      </c>
      <c r="G74" s="40" t="n"/>
      <c r="H74" s="40" t="n"/>
      <c r="I74" s="40" t="n"/>
      <c r="J74" s="40" t="n"/>
      <c r="K74" s="40" t="n"/>
      <c r="L74" s="40" t="n"/>
      <c r="M74" s="40" t="n"/>
      <c r="N74" s="40" t="n"/>
      <c r="O74" s="40" t="n"/>
      <c r="P74" s="40" t="n"/>
      <c r="Q74" s="40" t="n"/>
    </row>
    <row r="75">
      <c r="A75" s="40" t="inlineStr">
        <is>
          <t>Cables</t>
        </is>
      </c>
      <c r="B75" s="40" t="inlineStr">
        <is>
          <t>MicroFit Connector Receptacle 3 Position (43645-0300)</t>
        </is>
      </c>
      <c r="C75" s="40" t="n"/>
      <c r="D75" s="40" t="inlineStr">
        <is>
          <t>1</t>
        </is>
      </c>
      <c r="E75" s="40" t="inlineStr">
        <is>
          <t>All</t>
        </is>
      </c>
      <c r="F75" s="41">
        <f>HYPERLINK("https://www.digikey.com/products/en","Digikey")</f>
        <v/>
      </c>
      <c r="G75" s="40" t="n"/>
      <c r="H75" s="40" t="n"/>
      <c r="I75" s="40" t="n"/>
      <c r="J75" s="40" t="n"/>
      <c r="K75" s="40" t="n"/>
      <c r="L75" s="40" t="n"/>
      <c r="M75" s="40" t="n"/>
      <c r="N75" s="40" t="n"/>
      <c r="O75" s="40" t="n"/>
      <c r="P75" s="40" t="n"/>
      <c r="Q75" s="40" t="n"/>
    </row>
    <row r="76">
      <c r="A76" s="40" t="inlineStr">
        <is>
          <t>Cables</t>
        </is>
      </c>
      <c r="B76" s="40" t="inlineStr">
        <is>
          <t>MicroFit Connector Receptacle 2 Position (43645-0200)</t>
        </is>
      </c>
      <c r="C76" s="40" t="n"/>
      <c r="D76" s="40" t="inlineStr">
        <is>
          <t>6</t>
        </is>
      </c>
      <c r="E76" s="40" t="inlineStr">
        <is>
          <t>All</t>
        </is>
      </c>
      <c r="F76" s="41">
        <f>HYPERLINK("https://www.digikey.com/products/en","Digikey")</f>
        <v/>
      </c>
      <c r="G76" s="40" t="n"/>
      <c r="H76" s="40" t="n"/>
      <c r="I76" s="40" t="n"/>
      <c r="J76" s="40" t="n"/>
      <c r="K76" s="40" t="n"/>
      <c r="L76" s="40" t="n"/>
      <c r="M76" s="40" t="n"/>
      <c r="N76" s="40" t="n"/>
      <c r="O76" s="40" t="n"/>
      <c r="P76" s="40" t="n"/>
      <c r="Q76" s="40" t="n"/>
    </row>
    <row r="77">
      <c r="A77" s="40" t="inlineStr">
        <is>
          <t>Cables</t>
        </is>
      </c>
      <c r="B77" s="40" t="inlineStr">
        <is>
          <t>MicroFit Connector Plug 4 Position (43640-0401)</t>
        </is>
      </c>
      <c r="C77" s="40" t="n"/>
      <c r="D77" s="40" t="inlineStr">
        <is>
          <t>4</t>
        </is>
      </c>
      <c r="E77" s="40" t="inlineStr">
        <is>
          <t>All</t>
        </is>
      </c>
      <c r="F77" s="41">
        <f>HYPERLINK("https://www.digikey.com/products/en","Digikey")</f>
        <v/>
      </c>
      <c r="G77" s="40" t="n"/>
      <c r="H77" s="40" t="n"/>
      <c r="I77" s="40" t="n"/>
      <c r="J77" s="40" t="n"/>
      <c r="K77" s="40" t="n"/>
      <c r="L77" s="40" t="n"/>
      <c r="M77" s="40" t="n"/>
      <c r="N77" s="40" t="n"/>
      <c r="O77" s="40" t="n"/>
      <c r="P77" s="40" t="n"/>
      <c r="Q77" s="40" t="n"/>
    </row>
    <row r="78">
      <c r="A78" s="40" t="inlineStr">
        <is>
          <t>Cables</t>
        </is>
      </c>
      <c r="B78" s="40" t="inlineStr">
        <is>
          <t>MicroFit Connector Plug 3 Position (43640-0301)</t>
        </is>
      </c>
      <c r="C78" s="40" t="n"/>
      <c r="D78" s="40" t="inlineStr">
        <is>
          <t>1</t>
        </is>
      </c>
      <c r="E78" s="40" t="inlineStr">
        <is>
          <t>All</t>
        </is>
      </c>
      <c r="F78" s="41">
        <f>HYPERLINK("https://www.digikey.com/products/en","Digikey")</f>
        <v/>
      </c>
      <c r="G78" s="40" t="n"/>
      <c r="H78" s="40" t="n"/>
      <c r="I78" s="40" t="n"/>
      <c r="J78" s="40" t="n"/>
      <c r="K78" s="40" t="n"/>
      <c r="L78" s="40" t="n"/>
      <c r="M78" s="40" t="n"/>
      <c r="N78" s="40" t="n"/>
      <c r="O78" s="40" t="n"/>
      <c r="P78" s="40" t="n"/>
      <c r="Q78" s="40" t="n"/>
    </row>
    <row r="79">
      <c r="A79" s="40" t="inlineStr">
        <is>
          <t>Cables</t>
        </is>
      </c>
      <c r="B79" s="40" t="inlineStr">
        <is>
          <t>MicroFit Connector Plug 2 Position (43640-0201)</t>
        </is>
      </c>
      <c r="C79" s="40" t="n"/>
      <c r="D79" s="40" t="inlineStr">
        <is>
          <t>6</t>
        </is>
      </c>
      <c r="E79" s="40" t="inlineStr">
        <is>
          <t>All</t>
        </is>
      </c>
      <c r="F79" s="41">
        <f>HYPERLINK("https://www.digikey.com/products/en","Digikey")</f>
        <v/>
      </c>
      <c r="G79" s="40" t="n"/>
      <c r="H79" s="40" t="n"/>
      <c r="I79" s="40" t="n"/>
      <c r="J79" s="40" t="n"/>
      <c r="K79" s="40" t="n"/>
      <c r="L79" s="40" t="n"/>
      <c r="M79" s="40" t="n"/>
      <c r="N79" s="40" t="n"/>
      <c r="O79" s="40" t="n"/>
      <c r="P79" s="40" t="n"/>
      <c r="Q79" s="40" t="n"/>
    </row>
    <row r="80">
      <c r="A80" s="40" t="inlineStr">
        <is>
          <t>Cables</t>
        </is>
      </c>
      <c r="B80" s="40" t="inlineStr">
        <is>
          <t>JST-XH Female Pin</t>
        </is>
      </c>
      <c r="C80" s="40" t="n"/>
      <c r="D80" s="40" t="inlineStr">
        <is>
          <t>40</t>
        </is>
      </c>
      <c r="E80" s="40" t="inlineStr">
        <is>
          <t>All</t>
        </is>
      </c>
      <c r="F80" s="41">
        <f>HYPERLINK("https://www.digikey.com/product-detail/en/amphenol-icc-fci/47649-000LF/609-3614-1-ND/2044035","Digikey")</f>
        <v/>
      </c>
      <c r="G80" s="40" t="n"/>
      <c r="H80" s="43">
        <f>HYPERLINK("https://www.amazon.com/dp/B015Y6JOUG","Amazon")</f>
        <v/>
      </c>
      <c r="I80" s="40" t="n"/>
      <c r="J80" s="43">
        <f>HYPERLINK("https://www.amazon.com/dp/B01G0I0ZZK","Amazon")</f>
        <v/>
      </c>
      <c r="K80" s="43">
        <f>HYPERLINK("https://amzn.to/2l5ZXY8","[Affiliate Link]")</f>
        <v/>
      </c>
      <c r="L80" s="40" t="inlineStr">
        <is>
          <t>Molex for Einsy</t>
        </is>
      </c>
      <c r="M80" s="40" t="n"/>
      <c r="N80" s="40" t="n"/>
      <c r="O80" s="40" t="n"/>
      <c r="P80" s="42" t="inlineStr">
        <is>
          <t>for SKR boards only, see optional parts for other controllers</t>
        </is>
      </c>
      <c r="Q80" s="44" t="inlineStr">
        <is>
          <t>some links were dead</t>
        </is>
      </c>
    </row>
    <row r="81">
      <c r="A81" s="40" t="inlineStr">
        <is>
          <t>Cables</t>
        </is>
      </c>
      <c r="B81" s="40" t="inlineStr">
        <is>
          <t>JST-XH Connector Plug 4 Position</t>
        </is>
      </c>
      <c r="C81" s="40" t="n"/>
      <c r="D81" s="40" t="inlineStr">
        <is>
          <t>4</t>
        </is>
      </c>
      <c r="E81" s="40" t="inlineStr">
        <is>
          <t>All</t>
        </is>
      </c>
      <c r="F81" s="41">
        <f>HYPERLINK("https://www.digikey.com/product-detail/en/amphenol-icc-fci/65039-033ELF/609-5481-ND/4272532","Digikey")</f>
        <v/>
      </c>
      <c r="G81" s="40" t="n"/>
      <c r="H81" s="40" t="inlineStr">
        <is>
          <t>Molex for Einsy</t>
        </is>
      </c>
      <c r="I81" s="40" t="n"/>
      <c r="J81" s="40" t="n"/>
      <c r="K81" s="40" t="n"/>
      <c r="L81" s="40" t="n"/>
      <c r="M81" s="40" t="n"/>
      <c r="N81" s="40" t="n"/>
      <c r="O81" s="40" t="n"/>
      <c r="P81" s="40" t="n"/>
      <c r="Q81" s="40" t="n"/>
    </row>
    <row r="82">
      <c r="A82" s="40" t="inlineStr">
        <is>
          <t>Cables</t>
        </is>
      </c>
      <c r="B82" s="40" t="inlineStr">
        <is>
          <t>JST-XH Connector Plug 3 Position</t>
        </is>
      </c>
      <c r="C82" s="40" t="n"/>
      <c r="D82" s="40" t="inlineStr">
        <is>
          <t>4</t>
        </is>
      </c>
      <c r="E82" s="40" t="inlineStr">
        <is>
          <t>All</t>
        </is>
      </c>
      <c r="F82" s="41">
        <f>HYPERLINK("https://www.digikey.com/product-detail/en/amphenol-icc-fci/65039-034ELF/609-5482-ND/4272533","Digikey")</f>
        <v/>
      </c>
      <c r="G82" s="40" t="n"/>
      <c r="H82" s="40" t="inlineStr">
        <is>
          <t>Molex for Einsy</t>
        </is>
      </c>
      <c r="I82" s="40" t="n"/>
      <c r="J82" s="40" t="n"/>
      <c r="K82" s="40" t="n"/>
      <c r="L82" s="40" t="n"/>
      <c r="M82" s="40" t="n"/>
      <c r="N82" s="40" t="n"/>
      <c r="O82" s="40" t="n"/>
      <c r="P82" s="40" t="n"/>
      <c r="Q82" s="40" t="n"/>
    </row>
    <row r="83">
      <c r="A83" s="40" t="inlineStr">
        <is>
          <t>Cables</t>
        </is>
      </c>
      <c r="B83" s="40" t="inlineStr">
        <is>
          <t>JST-XH Connector Plug 2 Position</t>
        </is>
      </c>
      <c r="C83" s="40" t="n"/>
      <c r="D83" s="40" t="inlineStr">
        <is>
          <t>4</t>
        </is>
      </c>
      <c r="E83" s="40" t="inlineStr">
        <is>
          <t>All</t>
        </is>
      </c>
      <c r="F83" s="41">
        <f>HYPERLINK("https://www.digikey.com/product-detail/en/amphenol-icc-fci/65039-035ELF/609-5483-ND/4272534","Digikey")</f>
        <v/>
      </c>
      <c r="G83" s="40" t="n"/>
      <c r="H83" s="40" t="inlineStr">
        <is>
          <t>Molex for Einsy</t>
        </is>
      </c>
      <c r="I83" s="40" t="n"/>
      <c r="J83" s="40" t="n"/>
      <c r="K83" s="40" t="n"/>
      <c r="L83" s="40" t="n"/>
      <c r="M83" s="40" t="n"/>
      <c r="N83" s="40" t="n"/>
      <c r="O83" s="40" t="n"/>
      <c r="P83" s="40" t="n"/>
      <c r="Q83" s="40" t="n"/>
    </row>
    <row r="84">
      <c r="A84" s="40" t="inlineStr">
        <is>
          <t>Cables</t>
        </is>
      </c>
      <c r="B84" s="40" t="inlineStr">
        <is>
          <t>24AWG Silicone Cable (100ft total)</t>
        </is>
      </c>
      <c r="C84" s="40" t="n"/>
      <c r="D84" s="40" t="inlineStr">
        <is>
          <t>1</t>
        </is>
      </c>
      <c r="E84" s="40" t="inlineStr">
        <is>
          <t>All</t>
        </is>
      </c>
      <c r="F84" s="41">
        <f>HYPERLINK("https://www.aliexpress.com/item/32872395185.html","Striveday")</f>
        <v/>
      </c>
      <c r="G84" s="43">
        <f>HYPERLINK("https://s.click.aliexpress.com/e/kzE6vJLi","[Affiliate Link]")</f>
        <v/>
      </c>
      <c r="H84" s="43">
        <f>HYPERLINK("https://www.amazon.com/dp/B01LH1G2IE","Striveday")</f>
        <v/>
      </c>
      <c r="I84" s="40" t="n"/>
      <c r="J84" s="40" t="n"/>
      <c r="K84" s="40" t="n"/>
      <c r="L84" s="40" t="n"/>
      <c r="M84" s="40" t="n"/>
      <c r="N84" s="40" t="n"/>
      <c r="O84" s="40" t="n"/>
      <c r="P84" s="42" t="inlineStr">
        <is>
          <t>Since Lian has 4-6 conductor ribbon cable in a few difference sizes, makes wiring a bit easier through the cable chains</t>
        </is>
      </c>
      <c r="Q84" s="40" t="n"/>
    </row>
    <row r="85">
      <c r="A85" s="40" t="inlineStr">
        <is>
          <t>Cables</t>
        </is>
      </c>
      <c r="B85" s="40" t="inlineStr">
        <is>
          <t>16AWG Silicone Cable (10ft total)</t>
        </is>
      </c>
      <c r="C85" s="40" t="n"/>
      <c r="D85" s="40" t="inlineStr">
        <is>
          <t>1</t>
        </is>
      </c>
      <c r="E85" s="40" t="inlineStr">
        <is>
          <t>All</t>
        </is>
      </c>
      <c r="F85" s="40" t="n"/>
      <c r="G85" s="40" t="n"/>
      <c r="H85" s="40" t="n"/>
      <c r="I85" s="40" t="n"/>
      <c r="J85" s="40" t="n"/>
      <c r="K85" s="40" t="n"/>
      <c r="L85" s="40" t="n"/>
      <c r="M85" s="40" t="n"/>
      <c r="N85" s="40" t="n"/>
      <c r="O85" s="40" t="n"/>
      <c r="P85" s="40" t="n"/>
      <c r="Q85" s="44" t="inlineStr">
        <is>
          <t>all links were dead</t>
        </is>
      </c>
    </row>
    <row r="86">
      <c r="A86" s="40" t="inlineStr">
        <is>
          <t>Cables</t>
        </is>
      </c>
      <c r="B86" s="40" t="inlineStr">
        <is>
          <t>20AWG Silicone Cable (10ft total)</t>
        </is>
      </c>
      <c r="C86" s="40" t="n"/>
      <c r="D86" s="40" t="inlineStr">
        <is>
          <t>1</t>
        </is>
      </c>
      <c r="E86" s="40" t="inlineStr">
        <is>
          <t>All</t>
        </is>
      </c>
      <c r="F86" s="41">
        <f>HYPERLINK("https://www.aliexpress.com/item/32872395185.html","Striveday")</f>
        <v/>
      </c>
      <c r="G86" s="43">
        <f>HYPERLINK("https://s.click.aliexpress.com/e/kzE6vJLi","[Affiliate Link]")</f>
        <v/>
      </c>
      <c r="H86" s="43">
        <f>HYPERLINK("https://www.amazon.com/dp/B01LH1G2IE","Striveday")</f>
        <v/>
      </c>
      <c r="I86" s="40" t="n"/>
      <c r="J86" s="40" t="n"/>
      <c r="K86" s="40" t="n"/>
      <c r="L86" s="40" t="n"/>
      <c r="M86" s="40" t="n"/>
      <c r="N86" s="40" t="n"/>
      <c r="O86" s="40" t="n"/>
      <c r="P86" s="40" t="n"/>
      <c r="Q86" s="40" t="n"/>
    </row>
    <row r="87">
      <c r="A87" s="40" t="inlineStr">
        <is>
          <t>Cables</t>
        </is>
      </c>
      <c r="B87" s="40" t="inlineStr">
        <is>
          <t>10x11 Cable Chain - Openable (1m)</t>
        </is>
      </c>
      <c r="C87" s="40" t="n"/>
      <c r="D87" s="40" t="inlineStr">
        <is>
          <t>2</t>
        </is>
      </c>
      <c r="E87" s="40" t="inlineStr">
        <is>
          <t>All</t>
        </is>
      </c>
      <c r="F87" s="41">
        <f>HYPERLINK("https://www.amazon.com/dp/B07QLGWQ1L","Amazon")</f>
        <v/>
      </c>
      <c r="G87" s="40" t="n"/>
      <c r="H87" s="40" t="n"/>
      <c r="I87" s="40" t="n"/>
      <c r="J87" s="40" t="n"/>
      <c r="K87" s="40" t="n"/>
      <c r="L87" s="40" t="n"/>
      <c r="M87" s="40" t="n"/>
      <c r="N87" s="40" t="n"/>
      <c r="O87" s="40" t="n"/>
      <c r="P87" s="42" t="inlineStr">
        <is>
          <t>X Chain - 18 Links, Y Chain - 15 Links, Z Chain - 26 Links</t>
        </is>
      </c>
      <c r="Q87" s="44" t="inlineStr">
        <is>
          <t>some links were dead</t>
        </is>
      </c>
    </row>
    <row r="88">
      <c r="A88" s="45" t="inlineStr">
        <is>
          <t>Panels</t>
        </is>
      </c>
      <c r="B88" s="45" t="inlineStr">
        <is>
          <t>Opaque Enclosure Panels</t>
        </is>
      </c>
      <c r="C88" s="45" t="n"/>
      <c r="D88" s="45" t="inlineStr">
        <is>
          <t>6</t>
        </is>
      </c>
      <c r="E88" s="45" t="inlineStr">
        <is>
          <t>All</t>
        </is>
      </c>
      <c r="F88" s="46">
        <f>HYPERLINK("https://mnlasercutting.com/","MN Laser Cutting")</f>
        <v/>
      </c>
      <c r="G88" s="45" t="n"/>
      <c r="H88" s="45" t="n"/>
      <c r="I88" s="45" t="n"/>
      <c r="J88" s="45" t="n"/>
      <c r="K88" s="45" t="n"/>
      <c r="L88" s="45" t="n"/>
      <c r="M88" s="45" t="n"/>
      <c r="N88" s="45" t="n"/>
      <c r="O88" s="45" t="n"/>
      <c r="P88" s="45" t="n"/>
      <c r="Q88" s="45" t="n"/>
    </row>
    <row r="89">
      <c r="A89" s="45" t="inlineStr">
        <is>
          <t>Panels</t>
        </is>
      </c>
      <c r="B89" s="45" t="inlineStr">
        <is>
          <t>Side/Front/Top Acrylic Panels</t>
        </is>
      </c>
      <c r="C89" s="45" t="n"/>
      <c r="D89" s="45" t="inlineStr">
        <is>
          <t>5</t>
        </is>
      </c>
      <c r="E89" s="45" t="inlineStr">
        <is>
          <t>All</t>
        </is>
      </c>
      <c r="F89" s="45" t="n"/>
      <c r="G89" s="45" t="n"/>
      <c r="H89" s="45" t="n"/>
      <c r="I89" s="45" t="n"/>
      <c r="J89" s="45" t="n"/>
      <c r="K89" s="45" t="n"/>
      <c r="L89" s="45" t="n"/>
      <c r="M89" s="45" t="n"/>
      <c r="N89" s="45" t="n"/>
      <c r="O89" s="45" t="n"/>
      <c r="P89" s="45" t="n"/>
      <c r="Q89" s="45" t="n"/>
    </row>
    <row r="90">
      <c r="A90" s="48" t="inlineStr">
        <is>
          <t>Buildplate</t>
        </is>
      </c>
      <c r="B90" s="48" t="inlineStr">
        <is>
          <t>Prusa MK52 Heated Bed - 24V</t>
        </is>
      </c>
      <c r="C90" s="48" t="n"/>
      <c r="D90" s="48" t="inlineStr">
        <is>
          <t>1</t>
        </is>
      </c>
      <c r="E90" s="48" t="inlineStr">
        <is>
          <t>All</t>
        </is>
      </c>
      <c r="F90" s="49">
        <f>HYPERLINK("https://s.click.aliexpress.com/e/_dVSICze","AliExpress")</f>
        <v/>
      </c>
      <c r="G90" s="48" t="n"/>
      <c r="H90" s="48" t="inlineStr">
        <is>
          <t>X</t>
        </is>
      </c>
      <c r="I90" s="48" t="n"/>
      <c r="J90" s="48" t="n"/>
      <c r="K90" s="48" t="n"/>
      <c r="L90" s="48" t="n"/>
      <c r="M90" s="48" t="n"/>
      <c r="N90" s="48" t="n"/>
      <c r="O90" s="48" t="n"/>
      <c r="P90" s="50" t="inlineStr">
        <is>
          <t>Option 1: Heated bed only; Option 2: heated bed + Double sided Textured PEI Spring</t>
        </is>
      </c>
      <c r="Q90" s="48" t="n"/>
    </row>
    <row r="91">
      <c r="A91" s="48" t="inlineStr">
        <is>
          <t>Buildplate</t>
        </is>
      </c>
      <c r="B91" s="48" t="inlineStr">
        <is>
          <t>Spring Steel Sheet for Prusa MK52 Bed (included with TL Heated Bed)</t>
        </is>
      </c>
      <c r="C91" s="48" t="n"/>
      <c r="D91" s="48" t="inlineStr">
        <is>
          <t>1</t>
        </is>
      </c>
      <c r="E91" s="48" t="inlineStr">
        <is>
          <t>All</t>
        </is>
      </c>
      <c r="F91" s="48" t="inlineStr">
        <is>
          <t>X</t>
        </is>
      </c>
      <c r="G91" s="48" t="n"/>
      <c r="H91" s="48" t="n"/>
      <c r="I91" s="48" t="n"/>
      <c r="J91" s="48" t="n"/>
      <c r="K91" s="48" t="n"/>
      <c r="L91" s="48" t="n"/>
      <c r="M91" s="48" t="n"/>
      <c r="N91" s="48" t="n"/>
      <c r="O91" s="48" t="n"/>
      <c r="P91" s="48" t="n"/>
      <c r="Q91" s="48" t="n"/>
    </row>
    <row r="92">
      <c r="A92" s="48" t="inlineStr">
        <is>
          <t>Buildplate</t>
        </is>
      </c>
      <c r="B92" s="48" t="inlineStr">
        <is>
          <t>Prusa MK3 Y Carrier</t>
        </is>
      </c>
      <c r="C92" s="48" t="n"/>
      <c r="D92" s="48" t="inlineStr">
        <is>
          <t>1</t>
        </is>
      </c>
      <c r="E92" s="48" t="inlineStr">
        <is>
          <t>All</t>
        </is>
      </c>
      <c r="F92" s="49">
        <f>HYPERLINK("https://s.click.aliexpress.com/e/_d7QoTpE","AliExpress")</f>
        <v/>
      </c>
      <c r="G92" s="48" t="n"/>
      <c r="H92" s="51">
        <f>HYPERLINK("https://www.printedsolid.com/products/ldo-y-carriage-for-mk3?variant=32431285043285","Printed Solid")</f>
        <v/>
      </c>
      <c r="I92" s="48" t="n"/>
      <c r="J92" s="48" t="inlineStr">
        <is>
          <t>X</t>
        </is>
      </c>
      <c r="K92" s="48" t="n"/>
      <c r="L92" s="48" t="n"/>
      <c r="M92" s="48" t="n"/>
      <c r="N92" s="48" t="n"/>
      <c r="O92" s="48" t="n"/>
      <c r="P92" s="48" t="n"/>
      <c r="Q92" s="48"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30"/>
  <sheetViews>
    <sheetView workbookViewId="0">
      <pane ySplit="1" topLeftCell="A2" activePane="bottomLeft" state="frozen"/>
      <selection pane="bottomLeft" activeCell="A1" sqref="A1"/>
    </sheetView>
  </sheetViews>
  <sheetFormatPr baseColWidth="8" defaultRowHeight="15"/>
  <cols>
    <col width="19.9" customWidth="1" min="1" max="1"/>
    <col width="34.5" customWidth="1" min="2" max="2"/>
    <col width="17.1" customWidth="1" min="3" max="3"/>
    <col width="7" customWidth="1" min="4" max="4"/>
    <col width="8.5" customWidth="1" min="5" max="5"/>
    <col width="20" customWidth="1" min="6" max="6"/>
    <col width="15" customWidth="1" min="7" max="7"/>
    <col width="20" customWidth="1" min="8" max="8"/>
    <col width="20" customWidth="1" min="9" max="9"/>
    <col width="20" customWidth="1" min="10" max="10"/>
    <col width="15" customWidth="1" min="11" max="11"/>
    <col width="20" customWidth="1" min="12" max="12"/>
    <col width="20" customWidth="1" min="13" max="13"/>
    <col width="15" customWidth="1" min="14" max="14"/>
    <col width="20" customWidth="1" min="15" max="15"/>
    <col width="20" customWidth="1" min="16" max="16"/>
    <col width="20" customWidth="1" min="17" max="17"/>
    <col width="20" customWidth="1" min="18" max="18"/>
    <col width="20" customWidth="1" min="19" max="19"/>
    <col width="90" customWidth="1" min="20" max="20"/>
    <col width="20" customWidth="1" min="21" max="21"/>
  </cols>
  <sheetData>
    <row r="1">
      <c r="A1" s="3" t="inlineStr">
        <is>
          <t>Category</t>
        </is>
      </c>
      <c r="B1" s="3" t="inlineStr">
        <is>
          <t>Component</t>
        </is>
      </c>
      <c r="C1" s="3" t="inlineStr">
        <is>
          <t>Standard</t>
        </is>
      </c>
      <c r="D1" s="3" t="inlineStr">
        <is>
          <t>Qty</t>
        </is>
      </c>
      <c r="E1" s="3" t="inlineStr">
        <is>
          <t>Size</t>
        </is>
      </c>
      <c r="F1" s="4" t="inlineStr">
        <is>
          <t>Recommended</t>
        </is>
      </c>
      <c r="G1" s="3" t="inlineStr"/>
      <c r="H1" s="4" t="inlineStr">
        <is>
          <t>Alternative Source</t>
        </is>
      </c>
      <c r="I1" s="4" t="inlineStr">
        <is>
          <t>Alternative Source 2</t>
        </is>
      </c>
      <c r="J1" s="4" t="inlineStr">
        <is>
          <t>Alternative Source 3</t>
        </is>
      </c>
      <c r="K1" s="3" t="inlineStr"/>
      <c r="L1" s="4" t="inlineStr">
        <is>
          <t>Alternative Source 4</t>
        </is>
      </c>
      <c r="M1" s="4" t="inlineStr">
        <is>
          <t>Alternative Source 5</t>
        </is>
      </c>
      <c r="N1" s="3" t="inlineStr"/>
      <c r="O1" s="4" t="inlineStr">
        <is>
          <t>Alternative Source 6</t>
        </is>
      </c>
      <c r="P1" s="4" t="inlineStr">
        <is>
          <t>Alternative Source 7</t>
        </is>
      </c>
      <c r="Q1" s="4" t="inlineStr">
        <is>
          <t>Alternative Source 8</t>
        </is>
      </c>
      <c r="R1" s="4" t="inlineStr">
        <is>
          <t>Alternative Source 9</t>
        </is>
      </c>
      <c r="S1" s="4" t="inlineStr">
        <is>
          <t>Alternative Source 10</t>
        </is>
      </c>
      <c r="T1" s="3" t="inlineStr">
        <is>
          <t>Notes</t>
        </is>
      </c>
      <c r="U1" s="3" t="inlineStr">
        <is>
          <t>Link check</t>
        </is>
      </c>
    </row>
    <row r="2">
      <c r="A2" s="9" t="inlineStr">
        <is>
          <t>Fasteners</t>
        </is>
      </c>
      <c r="B2" s="9" t="inlineStr">
        <is>
          <t>M3 Heat Set Insert (M3x5x4)</t>
        </is>
      </c>
      <c r="C2" s="9" t="n"/>
      <c r="D2" s="9" t="inlineStr">
        <is>
          <t>19</t>
        </is>
      </c>
      <c r="E2" s="9" t="inlineStr">
        <is>
          <t>All</t>
        </is>
      </c>
      <c r="F2" s="10">
        <f>HYPERLINK("https://www.aliexpress.com/item/4000232858343.html","Aliexpress - M3x5x4")</f>
        <v/>
      </c>
      <c r="G2" s="11">
        <f>HYPERLINK("https://s.click.aliexpress.com/e/_dW3Uprs","[Affiliate Link]")</f>
        <v/>
      </c>
      <c r="H2" s="11">
        <f>HYPERLINK("https://s.click.aliexpress.com/e/_ANjqIj","Aliexpress")</f>
        <v/>
      </c>
      <c r="I2" s="11">
        <f>HYPERLINK("https://www.amazon.com/dp/B077CJV3Z9","Amazon")</f>
        <v/>
      </c>
      <c r="J2" s="11">
        <f>HYPERLINK("https://s.click.aliexpress.com/e/_dWMOd8C","Aliexpress - M3x5x4")</f>
        <v/>
      </c>
      <c r="K2" s="9" t="n"/>
      <c r="L2" s="11">
        <f>HYPERLINK("https://www.mcmaster.com/94180A331/","McMaster-Carr")</f>
        <v/>
      </c>
      <c r="M2" s="11">
        <f>HYPERLINK("https://s.click.aliexpress.com/e/_dW3Uprs","AliExpress")</f>
        <v/>
      </c>
      <c r="N2" s="9" t="n"/>
      <c r="O2" s="11">
        <f>HYPERLINK("https://cnckitchenus.store/products/made-for-voron-gewindeeinsatz-threaded-insert-m3x5x4-100-stk-pcs","CNC Kitchen")</f>
        <v/>
      </c>
      <c r="P2" s="9" t="n"/>
      <c r="Q2" s="9" t="n"/>
      <c r="R2" s="9" t="n"/>
      <c r="S2" s="9" t="n"/>
      <c r="T2" s="9" t="n"/>
      <c r="U2" s="9" t="n"/>
    </row>
    <row r="3">
      <c r="A3" s="9" t="inlineStr">
        <is>
          <t>Fasteners</t>
        </is>
      </c>
      <c r="B3" s="9" t="inlineStr">
        <is>
          <t>M3 Heat Set Insert (M3x5x4)</t>
        </is>
      </c>
      <c r="C3" s="9" t="n"/>
      <c r="D3" s="9" t="inlineStr">
        <is>
          <t>2</t>
        </is>
      </c>
      <c r="E3" s="9" t="inlineStr">
        <is>
          <t>All</t>
        </is>
      </c>
      <c r="F3" s="10">
        <f>HYPERLINK("https://www.aliexpress.com/item/4000232858343.html","Aliexpress - M3x5x4")</f>
        <v/>
      </c>
      <c r="G3" s="11">
        <f>HYPERLINK("https://s.click.aliexpress.com/e/_dW3Uprs","[Affiliate Link]")</f>
        <v/>
      </c>
      <c r="H3" s="11">
        <f>HYPERLINK("https://s.click.aliexpress.com/e/_ANjqIj","Aliexpress")</f>
        <v/>
      </c>
      <c r="I3" s="11">
        <f>HYPERLINK("https://www.amazon.com/dp/B077CJV3Z9","Amazon")</f>
        <v/>
      </c>
      <c r="J3" s="11">
        <f>HYPERLINK("https://s.click.aliexpress.com/e/_dWMOd8C","Aliexpress - M3x5x4")</f>
        <v/>
      </c>
      <c r="K3" s="9" t="n"/>
      <c r="L3" s="11">
        <f>HYPERLINK("https://www.mcmaster.com/94180A331/","McMaster-Carr")</f>
        <v/>
      </c>
      <c r="M3" s="11">
        <f>HYPERLINK("https://s.click.aliexpress.com/e/_dW3Uprs","AliExpress")</f>
        <v/>
      </c>
      <c r="N3" s="9" t="n"/>
      <c r="O3" s="11">
        <f>HYPERLINK("https://cnckitchenus.store/products/made-for-voron-gewindeeinsatz-threaded-insert-m3x5x4-100-stk-pcs","CNC Kitchen")</f>
        <v/>
      </c>
      <c r="P3" s="9" t="n"/>
      <c r="Q3" s="9" t="n"/>
      <c r="R3" s="9" t="n"/>
      <c r="S3" s="9" t="n"/>
      <c r="T3" s="9" t="n"/>
      <c r="U3" s="9" t="n"/>
    </row>
    <row r="4">
      <c r="A4" s="9" t="inlineStr">
        <is>
          <t>Hardware</t>
        </is>
      </c>
      <c r="B4" s="9" t="inlineStr">
        <is>
          <t>Hotend Mounting Screws (M2.5/M3)</t>
        </is>
      </c>
      <c r="C4" s="9" t="n"/>
      <c r="D4" s="9" t="inlineStr">
        <is>
          <t>2-4</t>
        </is>
      </c>
      <c r="E4" s="9" t="inlineStr">
        <is>
          <t>All</t>
        </is>
      </c>
      <c r="F4" s="9" t="n"/>
      <c r="G4" s="9" t="n"/>
      <c r="H4" s="9" t="n"/>
      <c r="I4" s="9" t="n"/>
      <c r="J4" s="9" t="n"/>
      <c r="K4" s="9" t="n"/>
      <c r="L4" s="9" t="n"/>
      <c r="M4" s="9" t="n"/>
      <c r="N4" s="9" t="n"/>
      <c r="O4" s="9" t="n"/>
      <c r="P4" s="9" t="n"/>
      <c r="Q4" s="9" t="n"/>
      <c r="R4" s="9" t="n"/>
      <c r="S4" s="9" t="n"/>
      <c r="T4" s="9" t="n"/>
      <c r="U4" s="9" t="n"/>
    </row>
    <row r="5">
      <c r="A5" s="9" t="inlineStr">
        <is>
          <t>Fasteners</t>
        </is>
      </c>
      <c r="B5" s="9" t="inlineStr">
        <is>
          <t>M3x6 FHCS</t>
        </is>
      </c>
      <c r="C5" s="9" t="inlineStr">
        <is>
          <t>ISO 10642 / DIN 7991</t>
        </is>
      </c>
      <c r="D5" s="9" t="inlineStr">
        <is>
          <t>3</t>
        </is>
      </c>
      <c r="E5" s="9" t="inlineStr">
        <is>
          <t>All</t>
        </is>
      </c>
      <c r="F5" s="10">
        <f>HYPERLINK("https://www.boltdepot.com/Product-Details.aspx?product=13249","Bolt Depot")</f>
        <v/>
      </c>
      <c r="G5" s="9" t="n"/>
      <c r="H5" s="11">
        <f>HYPERLINK("https://www.mcmaster.com/91294A126/","McMaster-Carr (100 pack)")</f>
        <v/>
      </c>
      <c r="I5" s="9" t="n"/>
      <c r="J5" s="9" t="n"/>
      <c r="K5" s="9" t="n"/>
      <c r="L5" s="9" t="n"/>
      <c r="M5" s="9" t="n"/>
      <c r="N5" s="9" t="n"/>
      <c r="O5" s="9" t="n"/>
      <c r="P5" s="9" t="n"/>
      <c r="Q5" s="9" t="n"/>
      <c r="R5" s="9" t="n"/>
      <c r="S5" s="9" t="n"/>
      <c r="T5" s="9" t="n"/>
      <c r="U5" s="9" t="n"/>
    </row>
    <row r="6">
      <c r="A6" s="9" t="inlineStr">
        <is>
          <t>Fasteners</t>
        </is>
      </c>
      <c r="B6" s="9" t="inlineStr">
        <is>
          <t>M3x6 BHCS</t>
        </is>
      </c>
      <c r="C6" s="9" t="inlineStr">
        <is>
          <t>ISO 7380-1</t>
        </is>
      </c>
      <c r="D6" s="9" t="inlineStr">
        <is>
          <t>1</t>
        </is>
      </c>
      <c r="E6" s="9" t="inlineStr">
        <is>
          <t>All</t>
        </is>
      </c>
      <c r="F6" s="10">
        <f>HYPERLINK("https://www.boltdepot.com/Product-Details.aspx?product=13334","Bolt Depot")</f>
        <v/>
      </c>
      <c r="G6" s="9" t="n"/>
      <c r="H6" s="11">
        <f>HYPERLINK("https://www.boltdepot.com/Metric_socket_button_head_Class_12.9_alloy_steel_black_oxide_finish_3mm_x_0.5mm.aspx","Bolt Depot")</f>
        <v/>
      </c>
      <c r="I6" s="11">
        <f>HYPERLINK("https://www.mcmaster.com/91239A111/","McMaster-Carr (100 pack)")</f>
        <v/>
      </c>
      <c r="J6" s="11">
        <f>HYPERLINK("https://s.click.aliexpress.com/e/_d7V4XEq","Aliexpress")</f>
        <v/>
      </c>
      <c r="K6" s="9" t="n"/>
      <c r="L6" s="9" t="n"/>
      <c r="M6" s="9" t="n"/>
      <c r="N6" s="9" t="n"/>
      <c r="O6" s="9" t="n"/>
      <c r="P6" s="9" t="n"/>
      <c r="Q6" s="9" t="n"/>
      <c r="R6" s="9" t="n"/>
      <c r="S6" s="9" t="n"/>
      <c r="T6" s="9" t="n"/>
      <c r="U6" s="9" t="n"/>
    </row>
    <row r="7">
      <c r="A7" s="9" t="inlineStr">
        <is>
          <t>Fasteners</t>
        </is>
      </c>
      <c r="B7" s="9" t="inlineStr">
        <is>
          <t>M3x8 SHCS</t>
        </is>
      </c>
      <c r="C7" s="9" t="inlineStr">
        <is>
          <t>ISO 4762 / DIN 912</t>
        </is>
      </c>
      <c r="D7" s="9" t="inlineStr">
        <is>
          <t>2</t>
        </is>
      </c>
      <c r="E7" s="9" t="inlineStr">
        <is>
          <t>All</t>
        </is>
      </c>
      <c r="F7" s="10">
        <f>HYPERLINK("https://www.boltdepot.com/Product-Details.aspx?product=13635","Bolt Depot")</f>
        <v/>
      </c>
      <c r="G7" s="9" t="n"/>
      <c r="H7" s="11">
        <f>HYPERLINK("https://www.boltdepot.com/Product-Details.aspx?product=13633","Bolt Depot")</f>
        <v/>
      </c>
      <c r="I7" s="11">
        <f>HYPERLINK("https://www.mcmaster.com/91290A113/","McMaster-Carr (100 pack)")</f>
        <v/>
      </c>
      <c r="J7" s="9" t="n"/>
      <c r="K7" s="9" t="n"/>
      <c r="L7" s="9" t="n"/>
      <c r="M7" s="9" t="n"/>
      <c r="N7" s="9" t="n"/>
      <c r="O7" s="9" t="n"/>
      <c r="P7" s="9" t="n"/>
      <c r="Q7" s="9" t="n"/>
      <c r="R7" s="9" t="n"/>
      <c r="S7" s="9" t="n"/>
      <c r="T7" s="9" t="n"/>
      <c r="U7" s="9" t="n"/>
    </row>
    <row r="8">
      <c r="A8" s="9" t="inlineStr">
        <is>
          <t>Hardware</t>
        </is>
      </c>
      <c r="B8" s="9" t="inlineStr">
        <is>
          <t>M3x10 SHCS</t>
        </is>
      </c>
      <c r="C8" s="9" t="n"/>
      <c r="D8" s="9" t="inlineStr">
        <is>
          <t>2</t>
        </is>
      </c>
      <c r="E8" s="9" t="inlineStr">
        <is>
          <t>All</t>
        </is>
      </c>
      <c r="F8" s="9" t="n"/>
      <c r="G8" s="9" t="n"/>
      <c r="H8" s="9" t="n"/>
      <c r="I8" s="9" t="n"/>
      <c r="J8" s="9" t="n"/>
      <c r="K8" s="9" t="n"/>
      <c r="L8" s="9" t="n"/>
      <c r="M8" s="9" t="n"/>
      <c r="N8" s="9" t="n"/>
      <c r="O8" s="9" t="n"/>
      <c r="P8" s="9" t="n"/>
      <c r="Q8" s="9" t="n"/>
      <c r="R8" s="9" t="n"/>
      <c r="S8" s="9" t="n"/>
      <c r="T8" s="9" t="n"/>
      <c r="U8" s="9" t="n"/>
    </row>
    <row r="9">
      <c r="A9" s="9" t="inlineStr">
        <is>
          <t>Fasteners</t>
        </is>
      </c>
      <c r="B9" s="9" t="inlineStr">
        <is>
          <t>M3x12 SHCS</t>
        </is>
      </c>
      <c r="C9" s="9" t="inlineStr">
        <is>
          <t>ISO 4762 / DIN 912</t>
        </is>
      </c>
      <c r="D9" s="9" t="inlineStr">
        <is>
          <t>2</t>
        </is>
      </c>
      <c r="E9" s="9" t="inlineStr">
        <is>
          <t>All</t>
        </is>
      </c>
      <c r="F9" s="10">
        <f>HYPERLINK("https://www.boltdepot.com/Product-Details.aspx?product=13637","Bolt Depot")</f>
        <v/>
      </c>
      <c r="G9" s="9" t="n"/>
      <c r="H9" s="11">
        <f>HYPERLINK("https://www.mcmaster.com/91290A117/","McMaster-Carr (100 pack)")</f>
        <v/>
      </c>
      <c r="I9" s="9" t="n"/>
      <c r="J9" s="9" t="n"/>
      <c r="K9" s="9" t="n"/>
      <c r="L9" s="9" t="n"/>
      <c r="M9" s="9" t="n"/>
      <c r="N9" s="9" t="n"/>
      <c r="O9" s="9" t="n"/>
      <c r="P9" s="9" t="n"/>
      <c r="Q9" s="9" t="n"/>
      <c r="R9" s="9" t="n"/>
      <c r="S9" s="9" t="n"/>
      <c r="T9" s="9" t="n"/>
      <c r="U9" s="9" t="n"/>
    </row>
    <row r="10">
      <c r="A10" s="9" t="inlineStr">
        <is>
          <t>Fasteners</t>
        </is>
      </c>
      <c r="B10" s="9" t="inlineStr">
        <is>
          <t>M3x16 SHCS</t>
        </is>
      </c>
      <c r="C10" s="9" t="inlineStr">
        <is>
          <t>ISO 4762 / DIN 912</t>
        </is>
      </c>
      <c r="D10" s="9" t="inlineStr">
        <is>
          <t>2</t>
        </is>
      </c>
      <c r="E10" s="9" t="inlineStr">
        <is>
          <t>All</t>
        </is>
      </c>
      <c r="F10" s="10">
        <f>HYPERLINK("https://www.boltdepot.com/Product-Details.aspx?product=13638","Bolt Depot")</f>
        <v/>
      </c>
      <c r="G10" s="9" t="n"/>
      <c r="H10" s="11">
        <f>HYPERLINK("https://www.mcmaster.com/91290A120/","McMaster-Carr (100 pack)")</f>
        <v/>
      </c>
      <c r="I10" s="9" t="n"/>
      <c r="J10" s="9" t="n"/>
      <c r="K10" s="9" t="n"/>
      <c r="L10" s="9" t="n"/>
      <c r="M10" s="9" t="n"/>
      <c r="N10" s="9" t="n"/>
      <c r="O10" s="9" t="n"/>
      <c r="P10" s="9" t="n"/>
      <c r="Q10" s="9" t="n"/>
      <c r="R10" s="9" t="n"/>
      <c r="S10" s="9" t="n"/>
      <c r="T10" s="9" t="n"/>
      <c r="U10" s="9" t="n"/>
    </row>
    <row r="11">
      <c r="A11" s="9" t="inlineStr">
        <is>
          <t>Fasteners</t>
        </is>
      </c>
      <c r="B11" s="9" t="inlineStr">
        <is>
          <t>M3x20 SHCS</t>
        </is>
      </c>
      <c r="C11" s="9" t="inlineStr">
        <is>
          <t>ISO 4762 / DIN 912</t>
        </is>
      </c>
      <c r="D11" s="9" t="inlineStr">
        <is>
          <t>1</t>
        </is>
      </c>
      <c r="E11" s="9" t="inlineStr">
        <is>
          <t>All</t>
        </is>
      </c>
      <c r="F11" s="10">
        <f>HYPERLINK("https://www.boltdepot.com/Product-Details.aspx?product=13639","Bolt Depot")</f>
        <v/>
      </c>
      <c r="G11" s="9" t="n"/>
      <c r="H11" s="11">
        <f>HYPERLINK("https://www.mcmaster.com/91290A123/","McMaster-Carr (100 pack)")</f>
        <v/>
      </c>
      <c r="I11" s="9" t="n"/>
      <c r="J11" s="9" t="n"/>
      <c r="K11" s="9" t="n"/>
      <c r="L11" s="9" t="n"/>
      <c r="M11" s="9" t="n"/>
      <c r="N11" s="9" t="n"/>
      <c r="O11" s="9" t="n"/>
      <c r="P11" s="9" t="n"/>
      <c r="Q11" s="9" t="n"/>
      <c r="R11" s="9" t="n"/>
      <c r="S11" s="9" t="n"/>
      <c r="T11" s="9" t="n"/>
      <c r="U11" s="9" t="n"/>
    </row>
    <row r="12">
      <c r="A12" s="9" t="inlineStr">
        <is>
          <t>Fasteners</t>
        </is>
      </c>
      <c r="B12" s="9" t="inlineStr">
        <is>
          <t>M3x25 SHCS</t>
        </is>
      </c>
      <c r="C12" s="9" t="inlineStr">
        <is>
          <t>ISO 4762 / DIN 912</t>
        </is>
      </c>
      <c r="D12" s="9" t="inlineStr">
        <is>
          <t>6</t>
        </is>
      </c>
      <c r="E12" s="9" t="inlineStr">
        <is>
          <t>All</t>
        </is>
      </c>
      <c r="F12" s="10">
        <f>HYPERLINK("https://www.boltdepot.com/Product-Details.aspx?product=13640","Bolt Depot")</f>
        <v/>
      </c>
      <c r="G12" s="9" t="n"/>
      <c r="H12" s="11">
        <f>HYPERLINK("https://www.mcmaster.com/91290A125/","McMaster-Carr (100 pack)")</f>
        <v/>
      </c>
      <c r="I12" s="9" t="n"/>
      <c r="J12" s="9" t="n"/>
      <c r="K12" s="9" t="n"/>
      <c r="L12" s="9" t="n"/>
      <c r="M12" s="9" t="n"/>
      <c r="N12" s="9" t="n"/>
      <c r="O12" s="9" t="n"/>
      <c r="P12" s="9" t="n"/>
      <c r="Q12" s="9" t="n"/>
      <c r="R12" s="9" t="n"/>
      <c r="S12" s="9" t="n"/>
      <c r="T12" s="9" t="n"/>
      <c r="U12" s="9" t="n"/>
    </row>
    <row r="13">
      <c r="A13" s="9" t="inlineStr">
        <is>
          <t>Fasteners</t>
        </is>
      </c>
      <c r="B13" s="9" t="inlineStr">
        <is>
          <t>M3x30 SHCS</t>
        </is>
      </c>
      <c r="C13" s="9" t="inlineStr">
        <is>
          <t>ISO 4762 / DIN 912</t>
        </is>
      </c>
      <c r="D13" s="9" t="inlineStr">
        <is>
          <t>1</t>
        </is>
      </c>
      <c r="E13" s="9" t="inlineStr">
        <is>
          <t>All</t>
        </is>
      </c>
      <c r="F13" s="10">
        <f>HYPERLINK("https://www.boltdepot.com/Product-Details.aspx?product=13641","Bolt Depot")</f>
        <v/>
      </c>
      <c r="G13" s="9" t="n"/>
      <c r="H13" s="11">
        <f>HYPERLINK("https://www.mcmaster.com/91290A171/","McMaster-Carr (10 pack)")</f>
        <v/>
      </c>
      <c r="I13" s="9" t="n"/>
      <c r="J13" s="9" t="n"/>
      <c r="K13" s="9" t="n"/>
      <c r="L13" s="9" t="n"/>
      <c r="M13" s="9" t="n"/>
      <c r="N13" s="9" t="n"/>
      <c r="O13" s="9" t="n"/>
      <c r="P13" s="9" t="n"/>
      <c r="Q13" s="9" t="n"/>
      <c r="R13" s="9" t="n"/>
      <c r="S13" s="9" t="n"/>
      <c r="T13" s="9" t="n"/>
      <c r="U13" s="9" t="n"/>
    </row>
    <row r="14">
      <c r="A14" s="9" t="inlineStr">
        <is>
          <t>Hardware</t>
        </is>
      </c>
      <c r="B14" s="9" t="inlineStr">
        <is>
          <t>M3x50 SHCS</t>
        </is>
      </c>
      <c r="C14" s="9" t="n"/>
      <c r="D14" s="9" t="inlineStr">
        <is>
          <t>2</t>
        </is>
      </c>
      <c r="E14" s="9" t="inlineStr">
        <is>
          <t>All</t>
        </is>
      </c>
      <c r="F14" s="10">
        <f>HYPERLINK("https://www.mcmaster.com/91290A137/","McMaster")</f>
        <v/>
      </c>
      <c r="G14" s="9" t="n"/>
      <c r="H14" s="9" t="n"/>
      <c r="I14" s="9" t="n"/>
      <c r="J14" s="9" t="n"/>
      <c r="K14" s="9" t="n"/>
      <c r="L14" s="9" t="n"/>
      <c r="M14" s="9" t="n"/>
      <c r="N14" s="9" t="n"/>
      <c r="O14" s="9" t="n"/>
      <c r="P14" s="9" t="n"/>
      <c r="Q14" s="9" t="n"/>
      <c r="R14" s="9" t="n"/>
      <c r="S14" s="9" t="n"/>
      <c r="T14" s="9" t="n"/>
      <c r="U14" s="9" t="n"/>
    </row>
    <row r="15">
      <c r="A15" s="9" t="inlineStr">
        <is>
          <t>Fasteners</t>
        </is>
      </c>
      <c r="B15" s="9" t="inlineStr">
        <is>
          <t>M3 Washer</t>
        </is>
      </c>
      <c r="C15" s="9" t="inlineStr">
        <is>
          <t>ISO 7089 / DIN 125</t>
        </is>
      </c>
      <c r="D15" s="9" t="inlineStr">
        <is>
          <t>1</t>
        </is>
      </c>
      <c r="E15" s="9" t="inlineStr">
        <is>
          <t>All</t>
        </is>
      </c>
      <c r="F15" s="10">
        <f>HYPERLINK("https://www.boltdepot.com/Product-Details.aspx?product=4513","Bolt Depot")</f>
        <v/>
      </c>
      <c r="G15" s="9" t="n"/>
      <c r="H15" s="11">
        <f>HYPERLINK("https://www.mcmaster.com/93475A210/","McMaster-Carr (100 pack)")</f>
        <v/>
      </c>
      <c r="I15" s="9" t="n"/>
      <c r="J15" s="9" t="n"/>
      <c r="K15" s="9" t="n"/>
      <c r="L15" s="9" t="n"/>
      <c r="M15" s="9" t="n"/>
      <c r="N15" s="9" t="n"/>
      <c r="O15" s="9" t="n"/>
      <c r="P15" s="9" t="n"/>
      <c r="Q15" s="9" t="n"/>
      <c r="R15" s="9" t="n"/>
      <c r="S15" s="9" t="n"/>
      <c r="T15" s="9" t="n"/>
      <c r="U15" s="9" t="n"/>
    </row>
    <row r="16">
      <c r="A16" s="24" t="inlineStr">
        <is>
          <t>Electronics</t>
        </is>
      </c>
      <c r="B16" s="24" t="inlineStr">
        <is>
          <t>NEMA14 36mm Round Pancake Motor with 10 tooth gear 20mm</t>
        </is>
      </c>
      <c r="C16" s="24" t="n"/>
      <c r="D16" s="24" t="inlineStr">
        <is>
          <t>1</t>
        </is>
      </c>
      <c r="E16" s="24" t="inlineStr">
        <is>
          <t>All</t>
        </is>
      </c>
      <c r="F16" s="25">
        <f>HYPERLINK("https://www.omc-stepperonline.com/round-nema-14-bipolar-0-9deg-9-ncm-12-75-oz-in-1-0a-%CF%8636x17-5mm-4-wires-14hr07-1004vrn","OMC Stepper")</f>
        <v/>
      </c>
      <c r="G16" s="24" t="n"/>
      <c r="H16" s="26">
        <f>HYPERLINK("https://s.click.aliexpress.com/e/_DBnmZ1l","Aliexpress")</f>
        <v/>
      </c>
      <c r="I16" s="26">
        <f>HYPERLINK("https://s.click.aliexpress.com/e/_A2WTM8","Aliexpress")</f>
        <v/>
      </c>
      <c r="J16" s="24" t="n"/>
      <c r="K16" s="24" t="n"/>
      <c r="L16" s="24" t="n"/>
      <c r="M16" s="24" t="n"/>
      <c r="N16" s="24" t="n"/>
      <c r="O16" s="24" t="n"/>
      <c r="P16" s="24" t="n"/>
      <c r="Q16" s="24" t="n"/>
      <c r="R16" s="24" t="n"/>
      <c r="S16" s="24" t="n"/>
      <c r="T16" s="24" t="n"/>
      <c r="U16" s="24" t="n"/>
    </row>
    <row r="17">
      <c r="A17" s="24" t="inlineStr">
        <is>
          <t>Electronics</t>
        </is>
      </c>
      <c r="B17" s="24" t="inlineStr">
        <is>
          <t>50x50x15 Centrifugal Fan (24V)</t>
        </is>
      </c>
      <c r="C17" s="24" t="n"/>
      <c r="D17" s="24" t="inlineStr">
        <is>
          <t>1</t>
        </is>
      </c>
      <c r="E17" s="24" t="inlineStr">
        <is>
          <t>All</t>
        </is>
      </c>
      <c r="F17" s="24" t="n"/>
      <c r="G17" s="24" t="n"/>
      <c r="H17" s="24" t="n"/>
      <c r="I17" s="24" t="n"/>
      <c r="J17" s="24" t="n"/>
      <c r="K17" s="24" t="n"/>
      <c r="L17" s="24" t="n"/>
      <c r="M17" s="24" t="n"/>
      <c r="N17" s="24" t="n"/>
      <c r="O17" s="24" t="n"/>
      <c r="P17" s="24" t="n"/>
      <c r="Q17" s="24" t="n"/>
      <c r="R17" s="24" t="n"/>
      <c r="S17" s="24" t="n"/>
      <c r="T17" s="24" t="n"/>
      <c r="U17" s="24" t="n"/>
    </row>
    <row r="18">
      <c r="A18" s="24" t="inlineStr">
        <is>
          <t>Electronics</t>
        </is>
      </c>
      <c r="B18" s="24" t="inlineStr">
        <is>
          <t>4010 Axial Fan</t>
        </is>
      </c>
      <c r="C18" s="24" t="n"/>
      <c r="D18" s="24" t="inlineStr">
        <is>
          <t>1</t>
        </is>
      </c>
      <c r="E18" s="24" t="inlineStr">
        <is>
          <t>All</t>
        </is>
      </c>
      <c r="F18" s="25">
        <f>HYPERLINK("https://www.aliexpress.com/item/32727867521.html","Aliexpress")</f>
        <v/>
      </c>
      <c r="G18" s="24" t="n"/>
      <c r="H18" s="26">
        <f>HYPERLINK("https://s.click.aliexpress.com/e/_d8MBoAW","Aliexpress")</f>
        <v/>
      </c>
      <c r="I18" s="24" t="n"/>
      <c r="J18" s="24" t="n"/>
      <c r="K18" s="24" t="n"/>
      <c r="L18" s="24" t="n"/>
      <c r="M18" s="24" t="n"/>
      <c r="N18" s="24" t="n"/>
      <c r="O18" s="24" t="n"/>
      <c r="P18" s="24" t="n"/>
      <c r="Q18" s="24" t="n"/>
      <c r="R18" s="24" t="n"/>
      <c r="S18" s="24" t="n"/>
      <c r="T18" s="24" t="n"/>
      <c r="U18" s="28" t="inlineStr">
        <is>
          <t>some links were dead</t>
        </is>
      </c>
    </row>
    <row r="19">
      <c r="A19" s="24" t="inlineStr">
        <is>
          <t>Electronics</t>
        </is>
      </c>
      <c r="B19" s="24" t="inlineStr">
        <is>
          <t>NeoPixel RGBW Mini Button PCB</t>
        </is>
      </c>
      <c r="C19" s="24" t="n"/>
      <c r="D19" s="24" t="inlineStr">
        <is>
          <t>3</t>
        </is>
      </c>
      <c r="E19" s="24" t="inlineStr">
        <is>
          <t>All</t>
        </is>
      </c>
      <c r="F19" s="24" t="n"/>
      <c r="G19" s="24" t="n"/>
      <c r="H19" s="24" t="n"/>
      <c r="I19" s="24" t="n"/>
      <c r="J19" s="24" t="n"/>
      <c r="K19" s="24" t="n"/>
      <c r="L19" s="24" t="n"/>
      <c r="M19" s="24" t="n"/>
      <c r="N19" s="24" t="n"/>
      <c r="O19" s="24" t="n"/>
      <c r="P19" s="24" t="n"/>
      <c r="Q19" s="24" t="n"/>
      <c r="R19" s="24" t="n"/>
      <c r="S19" s="24" t="n"/>
      <c r="T19" s="24" t="n"/>
      <c r="U19" s="24" t="n"/>
    </row>
    <row r="20">
      <c r="A20" s="35" t="inlineStr">
        <is>
          <t>Misc</t>
        </is>
      </c>
      <c r="B20" s="35" t="inlineStr">
        <is>
          <t>6x3mm Magnet</t>
        </is>
      </c>
      <c r="C20" s="35" t="n"/>
      <c r="D20" s="35" t="inlineStr">
        <is>
          <t>1</t>
        </is>
      </c>
      <c r="E20" s="35" t="inlineStr">
        <is>
          <t>All</t>
        </is>
      </c>
      <c r="F20" s="35" t="n"/>
      <c r="G20" s="35" t="n"/>
      <c r="H20" s="35" t="n"/>
      <c r="I20" s="35" t="n"/>
      <c r="J20" s="35" t="n"/>
      <c r="K20" s="35" t="n"/>
      <c r="L20" s="35" t="n"/>
      <c r="M20" s="35" t="n"/>
      <c r="N20" s="35" t="n"/>
      <c r="O20" s="35" t="n"/>
      <c r="P20" s="35" t="n"/>
      <c r="Q20" s="35" t="n"/>
      <c r="R20" s="35" t="n"/>
      <c r="S20" s="35" t="n"/>
      <c r="T20" s="35" t="n"/>
      <c r="U20" s="38" t="inlineStr">
        <is>
          <t>all links were dead</t>
        </is>
      </c>
    </row>
    <row r="21">
      <c r="A21" s="35" t="inlineStr">
        <is>
          <t>Misc</t>
        </is>
      </c>
      <c r="B21" s="35" t="inlineStr">
        <is>
          <t>PTFE Tube</t>
        </is>
      </c>
      <c r="C21" s="35" t="n"/>
      <c r="D21" s="35" t="inlineStr">
        <is>
          <t>1</t>
        </is>
      </c>
      <c r="E21" s="35" t="inlineStr">
        <is>
          <t>All</t>
        </is>
      </c>
      <c r="F21" s="36">
        <f>HYPERLINK("https://www.aliexpress.com/item/1005001408141263.html","Aliexpress")</f>
        <v/>
      </c>
      <c r="G21" s="35" t="n"/>
      <c r="H21" s="35" t="n"/>
      <c r="I21" s="35" t="n"/>
      <c r="J21" s="35" t="n"/>
      <c r="K21" s="35" t="n"/>
      <c r="L21" s="35" t="n"/>
      <c r="M21" s="35" t="n"/>
      <c r="N21" s="35" t="n"/>
      <c r="O21" s="35" t="n"/>
      <c r="P21" s="35" t="n"/>
      <c r="Q21" s="35" t="n"/>
      <c r="R21" s="35" t="n"/>
      <c r="S21" s="35" t="n"/>
      <c r="T21" s="35" t="n"/>
      <c r="U21" s="38" t="inlineStr">
        <is>
          <t>some links were dead</t>
        </is>
      </c>
    </row>
    <row r="22">
      <c r="A22" s="19" t="inlineStr">
        <is>
          <t>Extruder</t>
        </is>
      </c>
      <c r="B22" s="19" t="inlineStr">
        <is>
          <t>Complete BMG Extruder Clone</t>
        </is>
      </c>
      <c r="C22" s="19" t="n"/>
      <c r="D22" s="19" t="inlineStr">
        <is>
          <t>1</t>
        </is>
      </c>
      <c r="E22" s="19" t="inlineStr">
        <is>
          <t>All</t>
        </is>
      </c>
      <c r="F22" s="20">
        <f>HYPERLINK("https://www.bondtech.se/en/product/drivegear-kits","Bondtech")</f>
        <v/>
      </c>
      <c r="G22" s="19" t="n"/>
      <c r="H22" s="21">
        <f>HYPERLINK("https://www.filastruder.com/collections/bondtech/products/drivegear-kit","Filastruder")</f>
        <v/>
      </c>
      <c r="I22" s="21">
        <f>HYPERLINK("https://s.click.aliexpress.com/e/_dY14nbA","Aliexpress (TL)")</f>
        <v/>
      </c>
      <c r="J22" s="21">
        <f>HYPERLINK("https://www.aliexpress.com/item/32907327548.html","TriangleLab")</f>
        <v/>
      </c>
      <c r="K22" s="21">
        <f>HYPERLINK("https://s.click.aliexpress.com/e/5dL9AJgU","[Affiliate Link]")</f>
        <v/>
      </c>
      <c r="L22" s="21">
        <f>HYPERLINK("https://s.click.aliexpress.com/e/_AU7ik2","Aliexpress (TL)")</f>
        <v/>
      </c>
      <c r="M22" s="21">
        <f>HYPERLINK("https://www.aliexpress.com/item/4000021186440.html","Aliexpress (TL)")</f>
        <v/>
      </c>
      <c r="N22" s="21">
        <f>HYPERLINK("https://s.click.aliexpress.com/e/_Alji4k","[Affiliate Link]")</f>
        <v/>
      </c>
      <c r="O22" s="21">
        <f>HYPERLINK("https://www.aliexpress.com/item/2255799834871688.html","Aliexpress (TriangleLabs)")</f>
        <v/>
      </c>
      <c r="P22" s="21">
        <f>HYPERLINK("https://s.click.aliexpress.com/e/_dS7fWDW","TriangleLabs")</f>
        <v/>
      </c>
      <c r="Q22" s="21">
        <f>HYPERLINK("https://www.aliexpress.com/item/32947193804.html","TriangleLabs")</f>
        <v/>
      </c>
      <c r="R22" s="21">
        <f>HYPERLINK("https://www.filastruder.com/products/bondtech-bmg-internals-set?_pos=1&amp;_sid=8f05bd81a&amp;_ss=r","Filastruder")</f>
        <v/>
      </c>
      <c r="S22" s="21">
        <f>HYPERLINK("https://www.printedsolid.com/products/bondtech-bmg-extruder","Printed Solid")</f>
        <v/>
      </c>
      <c r="T22" s="19" t="n"/>
      <c r="U22" s="23" t="inlineStr">
        <is>
          <t>some links were dead</t>
        </is>
      </c>
    </row>
    <row r="23">
      <c r="A23" s="40" t="inlineStr">
        <is>
          <t>Cables</t>
        </is>
      </c>
      <c r="B23" s="40" t="inlineStr">
        <is>
          <t>MicroFit3 Male Pin (43031-0007)</t>
        </is>
      </c>
      <c r="C23" s="40" t="n"/>
      <c r="D23" s="40" t="inlineStr">
        <is>
          <t>3</t>
        </is>
      </c>
      <c r="E23" s="40" t="inlineStr">
        <is>
          <t>All</t>
        </is>
      </c>
      <c r="F23" s="41">
        <f>HYPERLINK("https://www.digikey.com/products/en","Digikey")</f>
        <v/>
      </c>
      <c r="G23" s="40" t="n"/>
      <c r="H23" s="40" t="n"/>
      <c r="I23" s="40" t="n"/>
      <c r="J23" s="40" t="n"/>
      <c r="K23" s="40" t="n"/>
      <c r="L23" s="40" t="n"/>
      <c r="M23" s="40" t="n"/>
      <c r="N23" s="40" t="n"/>
      <c r="O23" s="40" t="n"/>
      <c r="P23" s="40" t="n"/>
      <c r="Q23" s="40" t="n"/>
      <c r="R23" s="40" t="n"/>
      <c r="S23" s="40" t="n"/>
      <c r="T23" s="40" t="n"/>
      <c r="U23" s="40" t="n"/>
    </row>
    <row r="24">
      <c r="A24" s="40" t="inlineStr">
        <is>
          <t>Cables</t>
        </is>
      </c>
      <c r="B24" s="40" t="inlineStr">
        <is>
          <t>MicroFit3 Female Pin (43030-0007)</t>
        </is>
      </c>
      <c r="C24" s="40" t="n"/>
      <c r="D24" s="40" t="inlineStr">
        <is>
          <t>3</t>
        </is>
      </c>
      <c r="E24" s="40" t="inlineStr">
        <is>
          <t>All</t>
        </is>
      </c>
      <c r="F24" s="41">
        <f>HYPERLINK("https://www.digikey.com/products/en","Digikey")</f>
        <v/>
      </c>
      <c r="G24" s="40" t="n"/>
      <c r="H24" s="40" t="n"/>
      <c r="I24" s="40" t="n"/>
      <c r="J24" s="40" t="n"/>
      <c r="K24" s="40" t="n"/>
      <c r="L24" s="40" t="n"/>
      <c r="M24" s="40" t="n"/>
      <c r="N24" s="40" t="n"/>
      <c r="O24" s="40" t="n"/>
      <c r="P24" s="40" t="n"/>
      <c r="Q24" s="40" t="n"/>
      <c r="R24" s="40" t="n"/>
      <c r="S24" s="40" t="n"/>
      <c r="T24" s="40" t="n"/>
      <c r="U24" s="40" t="n"/>
    </row>
    <row r="25">
      <c r="A25" s="40" t="inlineStr">
        <is>
          <t>Cables</t>
        </is>
      </c>
      <c r="B25" s="40" t="inlineStr">
        <is>
          <t>MicroFit Connector Receptacle 3 Position (43645-0300)</t>
        </is>
      </c>
      <c r="C25" s="40" t="n"/>
      <c r="D25" s="40" t="inlineStr">
        <is>
          <t>1</t>
        </is>
      </c>
      <c r="E25" s="40" t="inlineStr">
        <is>
          <t>All</t>
        </is>
      </c>
      <c r="F25" s="41">
        <f>HYPERLINK("https://www.digikey.com/products/en","Digikey")</f>
        <v/>
      </c>
      <c r="G25" s="40" t="n"/>
      <c r="H25" s="40" t="n"/>
      <c r="I25" s="40" t="n"/>
      <c r="J25" s="40" t="n"/>
      <c r="K25" s="40" t="n"/>
      <c r="L25" s="40" t="n"/>
      <c r="M25" s="40" t="n"/>
      <c r="N25" s="40" t="n"/>
      <c r="O25" s="40" t="n"/>
      <c r="P25" s="40" t="n"/>
      <c r="Q25" s="40" t="n"/>
      <c r="R25" s="40" t="n"/>
      <c r="S25" s="40" t="n"/>
      <c r="T25" s="40" t="n"/>
      <c r="U25" s="40" t="n"/>
    </row>
    <row r="26">
      <c r="A26" s="40" t="inlineStr">
        <is>
          <t>Cables</t>
        </is>
      </c>
      <c r="B26" s="40" t="inlineStr">
        <is>
          <t>MicroFit Connector Plug 3 Position (43640-0301)</t>
        </is>
      </c>
      <c r="C26" s="40" t="n"/>
      <c r="D26" s="40" t="inlineStr">
        <is>
          <t>1</t>
        </is>
      </c>
      <c r="E26" s="40" t="inlineStr">
        <is>
          <t>All</t>
        </is>
      </c>
      <c r="F26" s="41">
        <f>HYPERLINK("https://www.digikey.com/products/en","Digikey")</f>
        <v/>
      </c>
      <c r="G26" s="40" t="n"/>
      <c r="H26" s="40" t="n"/>
      <c r="I26" s="40" t="n"/>
      <c r="J26" s="40" t="n"/>
      <c r="K26" s="40" t="n"/>
      <c r="L26" s="40" t="n"/>
      <c r="M26" s="40" t="n"/>
      <c r="N26" s="40" t="n"/>
      <c r="O26" s="40" t="n"/>
      <c r="P26" s="40" t="n"/>
      <c r="Q26" s="40" t="n"/>
      <c r="R26" s="40" t="n"/>
      <c r="S26" s="40" t="n"/>
      <c r="T26" s="40" t="n"/>
      <c r="U26" s="40" t="n"/>
    </row>
    <row r="27">
      <c r="A27" s="40" t="inlineStr">
        <is>
          <t>Cables</t>
        </is>
      </c>
      <c r="B27" s="40" t="inlineStr">
        <is>
          <t>30AWG PTFE Cable (3ft total)</t>
        </is>
      </c>
      <c r="C27" s="40" t="n"/>
      <c r="D27" s="40" t="inlineStr">
        <is>
          <t>1</t>
        </is>
      </c>
      <c r="E27" s="40" t="inlineStr">
        <is>
          <t>All</t>
        </is>
      </c>
      <c r="F27" s="40" t="n"/>
      <c r="G27" s="40" t="n"/>
      <c r="H27" s="40" t="n"/>
      <c r="I27" s="40" t="n"/>
      <c r="J27" s="40" t="n"/>
      <c r="K27" s="40" t="n"/>
      <c r="L27" s="40" t="n"/>
      <c r="M27" s="40" t="n"/>
      <c r="N27" s="40" t="n"/>
      <c r="O27" s="40" t="n"/>
      <c r="P27" s="40" t="n"/>
      <c r="Q27" s="40" t="n"/>
      <c r="R27" s="40" t="n"/>
      <c r="S27" s="40" t="n"/>
      <c r="T27" s="40" t="n"/>
      <c r="U27" s="40" t="n"/>
    </row>
    <row r="28">
      <c r="A28" s="40" t="inlineStr">
        <is>
          <t>Cables</t>
        </is>
      </c>
      <c r="B28" s="40" t="inlineStr">
        <is>
          <t>24AWG PTFE Cable (30ft total)</t>
        </is>
      </c>
      <c r="C28" s="40" t="n"/>
      <c r="D28" s="40" t="inlineStr">
        <is>
          <t>1</t>
        </is>
      </c>
      <c r="E28" s="40" t="inlineStr">
        <is>
          <t>All</t>
        </is>
      </c>
      <c r="F28" s="40" t="n"/>
      <c r="G28" s="40" t="n"/>
      <c r="H28" s="40" t="n"/>
      <c r="I28" s="40" t="n"/>
      <c r="J28" s="40" t="n"/>
      <c r="K28" s="40" t="n"/>
      <c r="L28" s="40" t="n"/>
      <c r="M28" s="40" t="n"/>
      <c r="N28" s="40" t="n"/>
      <c r="O28" s="40" t="n"/>
      <c r="P28" s="40" t="n"/>
      <c r="Q28" s="40" t="n"/>
      <c r="R28" s="40" t="n"/>
      <c r="S28" s="40" t="n"/>
      <c r="T28" s="40" t="n"/>
      <c r="U28" s="40" t="n"/>
    </row>
    <row r="29">
      <c r="A29" s="9" t="inlineStr">
        <is>
          <t>Fasteners</t>
        </is>
      </c>
      <c r="B29" s="9" t="inlineStr">
        <is>
          <t>M2x10 Self Tapping Screw for Plastics</t>
        </is>
      </c>
      <c r="C29" s="9" t="n"/>
      <c r="D29" s="9" t="inlineStr">
        <is>
          <t>2</t>
        </is>
      </c>
      <c r="E29" s="9" t="inlineStr">
        <is>
          <t>All</t>
        </is>
      </c>
      <c r="F29" s="10">
        <f>HYPERLINK("https://www.aliexpress.com/item/33043885403.html","Aliexpress")</f>
        <v/>
      </c>
      <c r="G29" s="9" t="n"/>
      <c r="H29" s="11">
        <f>HYPERLINK("https://www.mcmaster.com/99397A267/","McMaster-Carr (50 pack)")</f>
        <v/>
      </c>
      <c r="I29" s="11">
        <f>HYPERLINK("https://amzn.to/2JFQPSK","Amazon - kit")</f>
        <v/>
      </c>
      <c r="J29" s="11">
        <f>HYPERLINK("https://s.click.aliexpress.com/e/_d6tILYa","Aliexpress")</f>
        <v/>
      </c>
      <c r="K29" s="9" t="n"/>
      <c r="L29" s="11">
        <f>HYPERLINK("https://www.amazon.com/dp/B012THLK1E","Amazon")</f>
        <v/>
      </c>
      <c r="M29" s="9" t="n"/>
      <c r="N29" s="9" t="n"/>
      <c r="O29" s="9" t="n"/>
      <c r="P29" s="9" t="n"/>
      <c r="Q29" s="9" t="n"/>
      <c r="R29" s="9" t="n"/>
      <c r="S29" s="9" t="n"/>
      <c r="T29" s="9" t="n"/>
      <c r="U29" s="12" t="inlineStr">
        <is>
          <t>some links were dead</t>
        </is>
      </c>
    </row>
    <row r="30">
      <c r="A30" s="24" t="inlineStr">
        <is>
          <t>Electronics</t>
        </is>
      </c>
      <c r="B30" s="24" t="inlineStr">
        <is>
          <t>Harness for ADXL Sensor Module</t>
        </is>
      </c>
      <c r="C30" s="24" t="n"/>
      <c r="D30" s="24" t="inlineStr">
        <is>
          <t>1</t>
        </is>
      </c>
      <c r="E30" s="24" t="inlineStr">
        <is>
          <t>All</t>
        </is>
      </c>
      <c r="F30" s="24" t="n"/>
      <c r="G30" s="24" t="n"/>
      <c r="H30" s="24" t="n"/>
      <c r="I30" s="24" t="n"/>
      <c r="J30" s="24" t="n"/>
      <c r="K30" s="24" t="n"/>
      <c r="L30" s="24" t="n"/>
      <c r="M30" s="24" t="n"/>
      <c r="N30" s="24" t="n"/>
      <c r="O30" s="24" t="n"/>
      <c r="P30" s="24" t="n"/>
      <c r="Q30" s="24" t="n"/>
      <c r="R30" s="24" t="n"/>
      <c r="S30" s="24" t="n"/>
      <c r="T30" s="24" t="n"/>
      <c r="U30" s="24"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56"/>
  <sheetViews>
    <sheetView workbookViewId="0">
      <pane ySplit="1" topLeftCell="A2" activePane="bottomLeft" state="frozen"/>
      <selection pane="bottomLeft" activeCell="A1" sqref="A1"/>
    </sheetView>
  </sheetViews>
  <sheetFormatPr baseColWidth="8" defaultRowHeight="15"/>
  <cols>
    <col width="19.9" customWidth="1" min="1" max="1"/>
    <col width="34.5" customWidth="1" min="2" max="2"/>
    <col width="17.1" customWidth="1" min="3" max="3"/>
    <col width="7" customWidth="1" min="4" max="4"/>
    <col width="8.5" customWidth="1" min="5" max="5"/>
    <col width="20" customWidth="1" min="6" max="6"/>
    <col width="15" customWidth="1" min="7" max="7"/>
    <col width="20" customWidth="1" min="8" max="8"/>
    <col width="15" customWidth="1" min="9" max="9"/>
    <col width="20" customWidth="1" min="10" max="10"/>
    <col width="15" customWidth="1" min="11" max="11"/>
    <col width="20" customWidth="1" min="12" max="12"/>
    <col width="90" customWidth="1" min="13" max="13"/>
    <col width="20" customWidth="1" min="14" max="14"/>
  </cols>
  <sheetData>
    <row r="1">
      <c r="A1" s="3" t="inlineStr">
        <is>
          <t>Category</t>
        </is>
      </c>
      <c r="B1" s="3" t="inlineStr">
        <is>
          <t>Component</t>
        </is>
      </c>
      <c r="C1" s="3" t="inlineStr">
        <is>
          <t>Standard</t>
        </is>
      </c>
      <c r="D1" s="3" t="inlineStr">
        <is>
          <t>Qty</t>
        </is>
      </c>
      <c r="E1" s="3" t="inlineStr">
        <is>
          <t>Size</t>
        </is>
      </c>
      <c r="F1" s="4" t="inlineStr">
        <is>
          <t>Recommended</t>
        </is>
      </c>
      <c r="G1" s="3" t="inlineStr"/>
      <c r="H1" s="4" t="inlineStr">
        <is>
          <t>Alternative Source</t>
        </is>
      </c>
      <c r="I1" s="3" t="inlineStr"/>
      <c r="J1" s="4" t="inlineStr">
        <is>
          <t>Alternative Source 2</t>
        </is>
      </c>
      <c r="K1" s="3" t="inlineStr"/>
      <c r="L1" s="4" t="inlineStr">
        <is>
          <t>Alternative Source 3</t>
        </is>
      </c>
      <c r="M1" s="3" t="inlineStr">
        <is>
          <t>Notes</t>
        </is>
      </c>
      <c r="N1" s="3" t="inlineStr">
        <is>
          <t>Link check</t>
        </is>
      </c>
    </row>
    <row r="2">
      <c r="A2" s="9" t="inlineStr">
        <is>
          <t>Hotend</t>
        </is>
      </c>
      <c r="B2" s="9" t="inlineStr">
        <is>
          <t>E3D Volcano Bowden Hotend Kit (12V)</t>
        </is>
      </c>
      <c r="C2" s="9" t="n"/>
      <c r="D2" s="9" t="inlineStr">
        <is>
          <t>1</t>
        </is>
      </c>
      <c r="E2" s="9" t="inlineStr">
        <is>
          <t>All</t>
        </is>
      </c>
      <c r="F2" s="10">
        <f>HYPERLINK("https://www.aliexpress.com/item/32844080369.html","Aliexpress")</f>
        <v/>
      </c>
      <c r="G2" s="11">
        <f>HYPERLINK("https://s.click.aliexpress.com/e/KXNPe49K","[Affiliate Link]")</f>
        <v/>
      </c>
      <c r="H2" s="9" t="n"/>
      <c r="I2" s="9" t="n"/>
      <c r="J2" s="9" t="n"/>
      <c r="K2" s="9" t="n"/>
      <c r="L2" s="9" t="n"/>
      <c r="M2" s="13" t="inlineStr">
        <is>
          <t>We don't really suggest printing with Volcanos, but some folk love them. We do suggest building a non-colcano toolhead first though. Trianglelab sells inexpensive clones of the E3D Volcano assembly that is as good, if not better, than the original part. Purchase the all metal option if you intend to print above 240C. PTFE lined will break down at ABS temps.</t>
        </is>
      </c>
      <c r="N2" s="9" t="n"/>
    </row>
    <row r="3">
      <c r="A3" s="9" t="inlineStr">
        <is>
          <t>Hotend</t>
        </is>
      </c>
      <c r="B3" s="9" t="inlineStr">
        <is>
          <t>V6 and/or Mosquito Brass Nozzle</t>
        </is>
      </c>
      <c r="C3" s="9" t="n"/>
      <c r="D3" s="9" t="inlineStr">
        <is>
          <t>Spare</t>
        </is>
      </c>
      <c r="E3" s="9" t="inlineStr">
        <is>
          <t>All</t>
        </is>
      </c>
      <c r="F3" s="10">
        <f>HYPERLINK("https://www.aliexpress.com/item/32835656952.html","Aliexpress")</f>
        <v/>
      </c>
      <c r="G3" s="11">
        <f>HYPERLINK("https://s.click.aliexpress.com/e/Fq2srdXS","[Affiliate Link]")</f>
        <v/>
      </c>
      <c r="H3" s="9" t="n"/>
      <c r="I3" s="9" t="n"/>
      <c r="J3" s="9" t="n"/>
      <c r="K3" s="9" t="n"/>
      <c r="L3" s="9" t="n"/>
      <c r="M3" s="9" t="n"/>
      <c r="N3" s="9" t="n"/>
    </row>
    <row r="4">
      <c r="A4" s="9" t="inlineStr">
        <is>
          <t>Hotend</t>
        </is>
      </c>
      <c r="B4" s="9" t="inlineStr">
        <is>
          <t>V6 and/or Mosquito Copper Nozzle</t>
        </is>
      </c>
      <c r="C4" s="9" t="n"/>
      <c r="D4" s="9" t="inlineStr">
        <is>
          <t>Spare</t>
        </is>
      </c>
      <c r="E4" s="9" t="inlineStr">
        <is>
          <t>All</t>
        </is>
      </c>
      <c r="F4" s="10">
        <f>HYPERLINK("https://www.aliexpress.com/item/33044552706.html","Aliexpress")</f>
        <v/>
      </c>
      <c r="G4" s="9" t="n"/>
      <c r="H4" s="9" t="n"/>
      <c r="I4" s="9" t="n"/>
      <c r="J4" s="9" t="n"/>
      <c r="K4" s="9" t="n"/>
      <c r="L4" s="9" t="n"/>
      <c r="M4" s="9" t="n"/>
      <c r="N4" s="9" t="n"/>
    </row>
    <row r="5">
      <c r="A5" s="9" t="inlineStr">
        <is>
          <t>Hotend</t>
        </is>
      </c>
      <c r="B5" s="9" t="inlineStr">
        <is>
          <t>V6 and/or Mosquito Steel Nozzle</t>
        </is>
      </c>
      <c r="C5" s="9" t="n"/>
      <c r="D5" s="9" t="inlineStr">
        <is>
          <t>Spare</t>
        </is>
      </c>
      <c r="E5" s="9" t="inlineStr">
        <is>
          <t>All</t>
        </is>
      </c>
      <c r="F5" s="10">
        <f>HYPERLINK("https://www.aliexpress.com/item/32850756758.html","Aliexpress")</f>
        <v/>
      </c>
      <c r="G5" s="11">
        <f>HYPERLINK("https://s.click.aliexpress.com/e/LJTOcZYy","[Affiliate Link]")</f>
        <v/>
      </c>
      <c r="H5" s="9" t="n"/>
      <c r="I5" s="9" t="n"/>
      <c r="J5" s="9" t="n"/>
      <c r="K5" s="9" t="n"/>
      <c r="L5" s="9" t="n"/>
      <c r="M5" s="13" t="inlineStr">
        <is>
          <t>These are suggested for use on filled filaments, you may need to increase temperatures which may result in suboptimal print results or additional tuning requirements. Your Mileage May Vary</t>
        </is>
      </c>
      <c r="N5" s="9" t="n"/>
    </row>
    <row r="6">
      <c r="A6" s="9" t="inlineStr">
        <is>
          <t>Hotend</t>
        </is>
      </c>
      <c r="B6" s="9" t="inlineStr">
        <is>
          <t>Volcano Brass Nozzle</t>
        </is>
      </c>
      <c r="C6" s="9" t="n"/>
      <c r="D6" s="9" t="inlineStr">
        <is>
          <t>Spare</t>
        </is>
      </c>
      <c r="E6" s="9" t="inlineStr">
        <is>
          <t>All</t>
        </is>
      </c>
      <c r="F6" s="10">
        <f>HYPERLINK("https://www.aliexpress.com/item/32839344108.html","Aliexpress")</f>
        <v/>
      </c>
      <c r="G6" s="11">
        <f>HYPERLINK("https://s.click.aliexpress.com/e/23Kn1ego","[Affiliate Link]")</f>
        <v/>
      </c>
      <c r="H6" s="9" t="n"/>
      <c r="I6" s="9" t="n"/>
      <c r="J6" s="9" t="n"/>
      <c r="K6" s="9" t="n"/>
      <c r="L6" s="9" t="n"/>
      <c r="M6" s="9" t="n"/>
      <c r="N6" s="9" t="n"/>
    </row>
    <row r="7">
      <c r="A7" s="9" t="inlineStr">
        <is>
          <t>Hotend</t>
        </is>
      </c>
      <c r="B7" s="9" t="inlineStr">
        <is>
          <t>Volcano Copper Nozzle</t>
        </is>
      </c>
      <c r="C7" s="9" t="n"/>
      <c r="D7" s="9" t="inlineStr">
        <is>
          <t>Spare</t>
        </is>
      </c>
      <c r="E7" s="9" t="inlineStr">
        <is>
          <t>All</t>
        </is>
      </c>
      <c r="F7" s="10">
        <f>HYPERLINK("https://www.aliexpress.com/item/4000002246568.html","Aliexpress")</f>
        <v/>
      </c>
      <c r="G7" s="11">
        <f>HYPERLINK("https://s.click.aliexpress.com/e/BkBHRuqc","[Affiliate Link]")</f>
        <v/>
      </c>
      <c r="H7" s="9" t="n"/>
      <c r="I7" s="9" t="n"/>
      <c r="J7" s="9" t="n"/>
      <c r="K7" s="9" t="n"/>
      <c r="L7" s="9" t="n"/>
      <c r="M7" s="9" t="n"/>
      <c r="N7" s="9" t="n"/>
    </row>
    <row r="8">
      <c r="A8" s="9" t="inlineStr">
        <is>
          <t>Hotend</t>
        </is>
      </c>
      <c r="B8" s="9" t="inlineStr">
        <is>
          <t>Volcano Steel Nozzle</t>
        </is>
      </c>
      <c r="C8" s="9" t="n"/>
      <c r="D8" s="9" t="inlineStr">
        <is>
          <t>Spare</t>
        </is>
      </c>
      <c r="E8" s="9" t="inlineStr">
        <is>
          <t>All</t>
        </is>
      </c>
      <c r="F8" s="10">
        <f>HYPERLINK("https://www.aliexpress.com/item/32879512832.html","Aliexpress")</f>
        <v/>
      </c>
      <c r="G8" s="11">
        <f>HYPERLINK("https://s.click.aliexpress.com/e/swWaYCdw","[Affiliate Link]")</f>
        <v/>
      </c>
      <c r="H8" s="9" t="n"/>
      <c r="I8" s="9" t="n"/>
      <c r="J8" s="9" t="n"/>
      <c r="K8" s="9" t="n"/>
      <c r="L8" s="9" t="n"/>
      <c r="M8" s="13" t="inlineStr">
        <is>
          <t>These are suggested for use on filled filaments, you may need to increase temperatures which may result in suboptimal print results or additional tuning requirements. Your Mileage May Vary</t>
        </is>
      </c>
      <c r="N8" s="9" t="n"/>
    </row>
    <row r="9">
      <c r="A9" s="9" t="inlineStr">
        <is>
          <t>Hotend</t>
        </is>
      </c>
      <c r="B9" s="9" t="inlineStr">
        <is>
          <t>V6/Volcano Titanium Heatbreak</t>
        </is>
      </c>
      <c r="C9" s="9" t="n"/>
      <c r="D9" s="9" t="inlineStr">
        <is>
          <t>Spare</t>
        </is>
      </c>
      <c r="E9" s="9" t="inlineStr">
        <is>
          <t>All</t>
        </is>
      </c>
      <c r="F9" s="10">
        <f>HYPERLINK("https://www.aliexpress.com/item/32853548000.html","Aliexpress")</f>
        <v/>
      </c>
      <c r="G9" s="11">
        <f>HYPERLINK("https://s.click.aliexpress.com/e/ryH5bQic","[Affiliate Link]")</f>
        <v/>
      </c>
      <c r="H9" s="9" t="n"/>
      <c r="I9" s="9" t="n"/>
      <c r="J9" s="9" t="n"/>
      <c r="K9" s="9" t="n"/>
      <c r="L9" s="9" t="n"/>
      <c r="M9" s="9" t="n"/>
      <c r="N9" s="9" t="n"/>
    </row>
    <row r="10">
      <c r="A10" s="9" t="inlineStr">
        <is>
          <t>Hotend</t>
        </is>
      </c>
      <c r="B10" s="9" t="inlineStr">
        <is>
          <t>Copper V6 Heat Block</t>
        </is>
      </c>
      <c r="C10" s="9" t="n"/>
      <c r="D10" s="9" t="inlineStr">
        <is>
          <t>Spare</t>
        </is>
      </c>
      <c r="E10" s="9" t="inlineStr">
        <is>
          <t>All</t>
        </is>
      </c>
      <c r="F10" s="10">
        <f>HYPERLINK("https://www.aliexpress.com/item/4000011928654.html","Aliexpress")</f>
        <v/>
      </c>
      <c r="G10" s="11">
        <f>HYPERLINK("https://s.click.aliexpress.com/e/mcsnCIne","[Affiliate Link]")</f>
        <v/>
      </c>
      <c r="H10" s="9" t="n"/>
      <c r="I10" s="9" t="n"/>
      <c r="J10" s="9" t="n"/>
      <c r="K10" s="9" t="n"/>
      <c r="L10" s="9" t="n"/>
      <c r="M10" s="9" t="n"/>
      <c r="N10" s="9" t="n"/>
    </row>
    <row r="11">
      <c r="A11" s="9" t="inlineStr">
        <is>
          <t>Hotend</t>
        </is>
      </c>
      <c r="B11" s="9" t="inlineStr">
        <is>
          <t>Copper Volcano Heatblock</t>
        </is>
      </c>
      <c r="C11" s="9" t="n"/>
      <c r="D11" s="9" t="inlineStr">
        <is>
          <t>Spare</t>
        </is>
      </c>
      <c r="E11" s="9" t="inlineStr">
        <is>
          <t>All</t>
        </is>
      </c>
      <c r="F11" s="10">
        <f>HYPERLINK("https://www.aliexpress.com/item/4000012110390.html","Aliexpress")</f>
        <v/>
      </c>
      <c r="G11" s="11">
        <f>HYPERLINK("https://s.click.aliexpress.com/e/NWDuAJdA","[Affiliate Link]")</f>
        <v/>
      </c>
      <c r="H11" s="9" t="n"/>
      <c r="I11" s="9" t="n"/>
      <c r="J11" s="9" t="n"/>
      <c r="K11" s="9" t="n"/>
      <c r="L11" s="9" t="n"/>
      <c r="M11" s="9" t="n"/>
      <c r="N11" s="9" t="n"/>
    </row>
    <row r="12">
      <c r="A12" s="9" t="inlineStr">
        <is>
          <t>Hotend</t>
        </is>
      </c>
      <c r="B12" s="9" t="inlineStr">
        <is>
          <t>TriangleLab Dragon Hotend</t>
        </is>
      </c>
      <c r="C12" s="9" t="n"/>
      <c r="D12" s="9" t="inlineStr">
        <is>
          <t>1</t>
        </is>
      </c>
      <c r="E12" s="9" t="inlineStr">
        <is>
          <t>All</t>
        </is>
      </c>
      <c r="F12" s="9" t="n"/>
      <c r="G12" s="9" t="n"/>
      <c r="H12" s="9" t="n"/>
      <c r="I12" s="9" t="n"/>
      <c r="J12" s="9" t="n"/>
      <c r="K12" s="9" t="n"/>
      <c r="L12" s="9" t="n"/>
      <c r="M12" s="9" t="n"/>
      <c r="N12" s="12" t="inlineStr">
        <is>
          <t>all links were dead</t>
        </is>
      </c>
    </row>
    <row r="13">
      <c r="A13" s="9" t="inlineStr">
        <is>
          <t>Hotend</t>
        </is>
      </c>
      <c r="B13" s="9" t="inlineStr">
        <is>
          <t>V6/Volcano Heatsink</t>
        </is>
      </c>
      <c r="C13" s="9" t="n"/>
      <c r="D13" s="9" t="inlineStr">
        <is>
          <t>Spare</t>
        </is>
      </c>
      <c r="E13" s="9" t="inlineStr">
        <is>
          <t>All</t>
        </is>
      </c>
      <c r="F13" s="10">
        <f>HYPERLINK("https://www.aliexpress.com/item/32842829820.html","Silver")</f>
        <v/>
      </c>
      <c r="G13" s="11">
        <f>HYPERLINK("https://s.click.aliexpress.com/e/NBmwSZeC","[Affiliate Link]")</f>
        <v/>
      </c>
      <c r="H13" s="11">
        <f>HYPERLINK("https://www.aliexpress.com/item/32895954372.html","Gold")</f>
        <v/>
      </c>
      <c r="I13" s="11">
        <f>HYPERLINK("https://s.click.aliexpress.com/e/oKgf0o2U","[Affiliate Link]")</f>
        <v/>
      </c>
      <c r="J13" s="9" t="n"/>
      <c r="K13" s="9" t="n"/>
      <c r="L13" s="9" t="n"/>
      <c r="M13" s="9" t="n"/>
      <c r="N13" s="9" t="n"/>
    </row>
    <row r="14">
      <c r="A14" s="9" t="inlineStr">
        <is>
          <t>Hotend</t>
        </is>
      </c>
      <c r="B14" s="9" t="inlineStr">
        <is>
          <t>2 into 1 Y Splitter</t>
        </is>
      </c>
      <c r="C14" s="9" t="n"/>
      <c r="D14" s="9" t="inlineStr">
        <is>
          <t>Spare</t>
        </is>
      </c>
      <c r="E14" s="9" t="inlineStr">
        <is>
          <t>All</t>
        </is>
      </c>
      <c r="F14" s="10">
        <f>HYPERLINK("https://www.aliexpress.com/item/32770576556.html","Aliexpress")</f>
        <v/>
      </c>
      <c r="G14" s="11">
        <f>HYPERLINK("https://s.click.aliexpress.com/e/oGRvh1j6","[Affiliate Link]")</f>
        <v/>
      </c>
      <c r="H14" s="9" t="n"/>
      <c r="I14" s="9" t="n"/>
      <c r="J14" s="9" t="n"/>
      <c r="K14" s="9" t="n"/>
      <c r="L14" s="9" t="n"/>
      <c r="M14" s="13" t="inlineStr">
        <is>
          <t>Some people have been experimenting with these, nothing concrete from the development team yet though</t>
        </is>
      </c>
      <c r="N14" s="9" t="n"/>
    </row>
    <row r="15">
      <c r="A15" s="48" t="inlineStr">
        <is>
          <t>Buildplate</t>
        </is>
      </c>
      <c r="B15" s="48" t="inlineStr">
        <is>
          <t>Spring Steel Bed Kit with PEI and Magnet</t>
        </is>
      </c>
      <c r="C15" s="48" t="n"/>
      <c r="D15" s="48" t="inlineStr">
        <is>
          <t>optional</t>
        </is>
      </c>
      <c r="E15" s="48" t="inlineStr">
        <is>
          <t>230</t>
        </is>
      </c>
      <c r="F15" s="49">
        <f>HYPERLINK("https://www.aliexpress.com/item/4000138916012.html","Powdercoated PEI")</f>
        <v/>
      </c>
      <c r="G15" s="51">
        <f>HYPERLINK("https://s.click.aliexpress.com/e/3OWZIFYG","[Affiliate Link]")</f>
        <v/>
      </c>
      <c r="H15" s="48" t="n"/>
      <c r="I15" s="48" t="n"/>
      <c r="J15" s="48" t="n"/>
      <c r="K15" s="48" t="n"/>
      <c r="L15" s="48" t="n"/>
      <c r="M15" s="48" t="n"/>
      <c r="N15" s="52" t="inlineStr">
        <is>
          <t>some links were dead</t>
        </is>
      </c>
    </row>
    <row r="16">
      <c r="A16" s="48" t="inlineStr">
        <is>
          <t>Buildplate</t>
        </is>
      </c>
      <c r="B16" s="48" t="inlineStr">
        <is>
          <t>Spring Steel Bed Kit with PEI and Magnet</t>
        </is>
      </c>
      <c r="C16" s="48" t="n"/>
      <c r="D16" s="48" t="inlineStr">
        <is>
          <t>optional</t>
        </is>
      </c>
      <c r="E16" s="48" t="inlineStr">
        <is>
          <t>250</t>
        </is>
      </c>
      <c r="F16" s="49">
        <f>HYPERLINK("https://www.aliexpress.com/item/4000138916012.html","Powdercoated PEI")</f>
        <v/>
      </c>
      <c r="G16" s="51">
        <f>HYPERLINK("https://s.click.aliexpress.com/e/3OWZIFYG","[Affiliate Link]")</f>
        <v/>
      </c>
      <c r="H16" s="48" t="n"/>
      <c r="I16" s="48" t="n"/>
      <c r="J16" s="48" t="n"/>
      <c r="K16" s="48" t="n"/>
      <c r="L16" s="48" t="n"/>
      <c r="M16" s="48" t="n"/>
      <c r="N16" s="52" t="inlineStr">
        <is>
          <t>some links were dead</t>
        </is>
      </c>
    </row>
    <row r="17">
      <c r="A17" s="48" t="inlineStr">
        <is>
          <t>Buildplate</t>
        </is>
      </c>
      <c r="B17" s="48" t="inlineStr">
        <is>
          <t>Spring Steel Bed Kit with PEI and Magnet</t>
        </is>
      </c>
      <c r="C17" s="48" t="n"/>
      <c r="D17" s="48" t="inlineStr">
        <is>
          <t>optional</t>
        </is>
      </c>
      <c r="E17" s="48" t="inlineStr">
        <is>
          <t>300</t>
        </is>
      </c>
      <c r="F17" s="49">
        <f>HYPERLINK("https://www.aliexpress.com/item/4000138916012.html","Powdercoated PEI")</f>
        <v/>
      </c>
      <c r="G17" s="51">
        <f>HYPERLINK("https://s.click.aliexpress.com/e/3OWZIFYG","[Affiliate Link]")</f>
        <v/>
      </c>
      <c r="H17" s="48" t="n"/>
      <c r="I17" s="48" t="n"/>
      <c r="J17" s="48" t="n"/>
      <c r="K17" s="48" t="n"/>
      <c r="L17" s="48" t="n"/>
      <c r="M17" s="48" t="n"/>
      <c r="N17" s="52" t="inlineStr">
        <is>
          <t>some links were dead</t>
        </is>
      </c>
    </row>
    <row r="18">
      <c r="A18" s="48" t="inlineStr">
        <is>
          <t>Buildplate</t>
        </is>
      </c>
      <c r="B18" s="48" t="inlineStr">
        <is>
          <t>Spring Steel Bed Kit with PEI and Magnet</t>
        </is>
      </c>
      <c r="C18" s="48" t="n"/>
      <c r="D18" s="48" t="inlineStr">
        <is>
          <t>optional</t>
        </is>
      </c>
      <c r="E18" s="48" t="inlineStr">
        <is>
          <t>350</t>
        </is>
      </c>
      <c r="F18" s="49">
        <f>HYPERLINK("https://www.aliexpress.com/item/4000138916012.html","Powdercoated PEI")</f>
        <v/>
      </c>
      <c r="G18" s="51">
        <f>HYPERLINK("https://s.click.aliexpress.com/e/3OWZIFYG","[Affiliate Link]")</f>
        <v/>
      </c>
      <c r="H18" s="48" t="n"/>
      <c r="I18" s="48" t="n"/>
      <c r="J18" s="48" t="n"/>
      <c r="K18" s="48" t="n"/>
      <c r="L18" s="48" t="n"/>
      <c r="M18" s="48" t="n"/>
      <c r="N18" s="52" t="inlineStr">
        <is>
          <t>some links were dead</t>
        </is>
      </c>
    </row>
    <row r="19">
      <c r="A19" s="48" t="inlineStr">
        <is>
          <t>Buildplate</t>
        </is>
      </c>
      <c r="B19" s="48" t="inlineStr">
        <is>
          <t>High Temperature Magnet</t>
        </is>
      </c>
      <c r="C19" s="48" t="n"/>
      <c r="D19" s="48" t="inlineStr">
        <is>
          <t>optional</t>
        </is>
      </c>
      <c r="E19" s="48" t="inlineStr">
        <is>
          <t>All</t>
        </is>
      </c>
      <c r="F19" s="49">
        <f>HYPERLINK("https://www.mcmaster.com/7301T25/","McMaster-Carr")</f>
        <v/>
      </c>
      <c r="G19" s="48" t="n"/>
      <c r="H19" s="48" t="n"/>
      <c r="I19" s="48" t="n"/>
      <c r="J19" s="48" t="n"/>
      <c r="K19" s="48" t="n"/>
      <c r="L19" s="48" t="n"/>
      <c r="M19" s="48" t="n"/>
      <c r="N19" s="52" t="inlineStr">
        <is>
          <t>some links were dead</t>
        </is>
      </c>
    </row>
    <row r="20">
      <c r="A20" s="24" t="inlineStr">
        <is>
          <t>Electronics</t>
        </is>
      </c>
      <c r="B20" s="24" t="inlineStr">
        <is>
          <t>40w Heater Cartridge</t>
        </is>
      </c>
      <c r="C20" s="24" t="n"/>
      <c r="D20" s="24" t="inlineStr">
        <is>
          <t>Spare</t>
        </is>
      </c>
      <c r="E20" s="24" t="inlineStr">
        <is>
          <t>All</t>
        </is>
      </c>
      <c r="F20" s="25">
        <f>HYPERLINK("https://www.aliexpress.com/item/32815934251.html","Aliexpress")</f>
        <v/>
      </c>
      <c r="G20" s="26">
        <f>HYPERLINK("https://s.click.aliexpress.com/e/FfRqlrTa","[Affiliate Link]")</f>
        <v/>
      </c>
      <c r="H20" s="24" t="n"/>
      <c r="I20" s="24" t="n"/>
      <c r="J20" s="24" t="n"/>
      <c r="K20" s="24" t="n"/>
      <c r="L20" s="24" t="n"/>
      <c r="M20" s="24" t="n"/>
      <c r="N20" s="24" t="n"/>
    </row>
    <row r="21">
      <c r="A21" s="24" t="inlineStr">
        <is>
          <t>Electronics</t>
        </is>
      </c>
      <c r="B21" s="24" t="inlineStr">
        <is>
          <t>50w Heater Cartridge</t>
        </is>
      </c>
      <c r="C21" s="24" t="n"/>
      <c r="D21" s="24" t="inlineStr">
        <is>
          <t>Spare</t>
        </is>
      </c>
      <c r="E21" s="24" t="inlineStr">
        <is>
          <t>All</t>
        </is>
      </c>
      <c r="F21" s="25">
        <f>HYPERLINK("https://www.sliceengineering.com/shop/50w-heater-cartridge","Slice Engineering")</f>
        <v/>
      </c>
      <c r="G21" s="24" t="n"/>
      <c r="H21" s="26">
        <f>HYPERLINK("https://www.aliexpress.com/item/32960167491.html","Aliexpress")</f>
        <v/>
      </c>
      <c r="I21" s="26">
        <f>HYPERLINK("https://s.click.aliexpress.com/e/tm9T4aDE","[Affiliate Link]")</f>
        <v/>
      </c>
      <c r="J21" s="24" t="n"/>
      <c r="K21" s="24" t="n"/>
      <c r="L21" s="24" t="n"/>
      <c r="M21" s="24" t="n"/>
      <c r="N21" s="24" t="n"/>
    </row>
    <row r="22">
      <c r="A22" s="24" t="inlineStr">
        <is>
          <t>Electronics</t>
        </is>
      </c>
      <c r="B22" s="24" t="inlineStr">
        <is>
          <t>PT100 RTD Sensor</t>
        </is>
      </c>
      <c r="C22" s="24" t="n"/>
      <c r="D22" s="24" t="inlineStr">
        <is>
          <t>Spare</t>
        </is>
      </c>
      <c r="E22" s="24" t="inlineStr">
        <is>
          <t>All</t>
        </is>
      </c>
      <c r="F22" s="25">
        <f>HYPERLINK("https://e3d-online.com/products/pt100-temperature-sensor","E3D")</f>
        <v/>
      </c>
      <c r="G22" s="24" t="n"/>
      <c r="H22" s="26">
        <f>HYPERLINK("https://www.aliexpress.com/item/32828593452.html","Aliexpress")</f>
        <v/>
      </c>
      <c r="I22" s="24" t="n"/>
      <c r="J22" s="24" t="n"/>
      <c r="K22" s="24" t="n"/>
      <c r="L22" s="24" t="n"/>
      <c r="M22" s="27" t="inlineStr">
        <is>
          <t>Not required, but always nice, tend to be more "reliable" than thermistors, require additional hardware to use</t>
        </is>
      </c>
      <c r="N22" s="24" t="n"/>
    </row>
    <row r="23">
      <c r="A23" s="24" t="inlineStr">
        <is>
          <t>Electronics</t>
        </is>
      </c>
      <c r="B23" s="24" t="inlineStr">
        <is>
          <t>NTC 100K Beta 3950 Thermistor Sensor</t>
        </is>
      </c>
      <c r="C23" s="24" t="n"/>
      <c r="D23" s="24" t="inlineStr">
        <is>
          <t>Spare</t>
        </is>
      </c>
      <c r="E23" s="24" t="inlineStr">
        <is>
          <t>All</t>
        </is>
      </c>
      <c r="F23" s="25">
        <f>HYPERLINK("https://www.aliexpress.com/item/33029709571.html","Aliexpress")</f>
        <v/>
      </c>
      <c r="G23" s="24" t="n"/>
      <c r="H23" s="24" t="n"/>
      <c r="I23" s="24" t="n"/>
      <c r="J23" s="24" t="n"/>
      <c r="K23" s="24" t="n"/>
      <c r="L23" s="24" t="n"/>
      <c r="M23" s="24" t="n"/>
      <c r="N23" s="24" t="n"/>
    </row>
    <row r="24">
      <c r="A24" s="24" t="inlineStr">
        <is>
          <t>Electronics</t>
        </is>
      </c>
      <c r="B24" s="24" t="inlineStr">
        <is>
          <t>Omron TL-Q5MC2 - NPN, NC, 5mm Sense</t>
        </is>
      </c>
      <c r="C24" s="24" t="n"/>
      <c r="D24" s="24" t="inlineStr">
        <is>
          <t>1</t>
        </is>
      </c>
      <c r="E24" s="24" t="inlineStr">
        <is>
          <t>All</t>
        </is>
      </c>
      <c r="F24" s="25">
        <f>HYPERLINK("https://www.aliexpress.com/item/2251832663198775.html","Aliexpress")</f>
        <v/>
      </c>
      <c r="G24" s="26">
        <f>HYPERLINK("https://s.click.aliexpress.com/e/_DEI50IF","[Affiliate Link]")</f>
        <v/>
      </c>
      <c r="H24" s="26">
        <f>HYPERLINK("https://www.mouser.com/ProductDetail/Omron-Automation-and-Safety/TL-Q5MC2?qs=%2Fha2pyFadujGSyouhW07bDypqQHk8q5KtPum7PUL424%3D","Mouser (OEM A-Stock)")</f>
        <v/>
      </c>
      <c r="I24" s="24" t="n"/>
      <c r="J24" s="26">
        <f>HYPERLINK("https://www.newark.com/omron-industrial-automation/tl-q5mc2/rect-prx-5mm-npn-nc-unsh/dp/38B1174","Newark (OEM A-Stock)")</f>
        <v/>
      </c>
      <c r="K24" s="24" t="n"/>
      <c r="L24" s="26">
        <f>HYPERLINK("https://s.click.aliexpress.com/e/_DlxY7KJ","AliExpress")</f>
        <v/>
      </c>
      <c r="M24" s="27" t="inlineStr">
        <is>
          <t>for Omron Toolhead (only use this if you have a spring steel plate or you may not have sufficient sense distance before crashing the toolhead)</t>
        </is>
      </c>
      <c r="N24" s="28" t="inlineStr">
        <is>
          <t>some links were dead</t>
        </is>
      </c>
    </row>
    <row r="25">
      <c r="A25" s="24" t="inlineStr">
        <is>
          <t>Electronics</t>
        </is>
      </c>
      <c r="B25" s="24" t="inlineStr">
        <is>
          <t>Power Supply for 24v Conversions</t>
        </is>
      </c>
      <c r="C25" s="24" t="n"/>
      <c r="D25" s="24" t="inlineStr">
        <is>
          <t>1</t>
        </is>
      </c>
      <c r="E25" s="24" t="inlineStr">
        <is>
          <t>All</t>
        </is>
      </c>
      <c r="F25" s="25">
        <f>HYPERLINK("https://www.digikey.com/products/en","Digikey")</f>
        <v/>
      </c>
      <c r="G25" s="24" t="n"/>
      <c r="H25" s="24" t="n"/>
      <c r="I25" s="24" t="n"/>
      <c r="J25" s="24" t="n"/>
      <c r="K25" s="24" t="n"/>
      <c r="L25" s="24" t="n"/>
      <c r="M25" s="24" t="n"/>
      <c r="N25" s="24" t="n"/>
    </row>
    <row r="26">
      <c r="A26" s="24" t="inlineStr">
        <is>
          <t>Electronics</t>
        </is>
      </c>
      <c r="B26" s="24" t="inlineStr">
        <is>
          <t>Small 12v PSU for Lights, etc for 24v Builds</t>
        </is>
      </c>
      <c r="C26" s="24" t="n"/>
      <c r="D26" s="24" t="inlineStr">
        <is>
          <t>1</t>
        </is>
      </c>
      <c r="E26" s="24" t="inlineStr">
        <is>
          <t>All</t>
        </is>
      </c>
      <c r="F26" s="25">
        <f>HYPERLINK("https://www.digikey.com/product-detail/en/mean-well-usa-inc/RS-25-12/1866-4140-ND/7706175","Digikey (25w)")</f>
        <v/>
      </c>
      <c r="G26" s="24" t="n"/>
      <c r="H26" s="24" t="n"/>
      <c r="I26" s="24" t="n"/>
      <c r="J26" s="24" t="n"/>
      <c r="K26" s="24" t="n"/>
      <c r="L26" s="24" t="n"/>
      <c r="M26" s="24" t="n"/>
      <c r="N26" s="28" t="inlineStr">
        <is>
          <t>some links were dead</t>
        </is>
      </c>
    </row>
    <row r="27">
      <c r="A27" s="40" t="inlineStr">
        <is>
          <t>Cables</t>
        </is>
      </c>
      <c r="B27" s="40" t="inlineStr">
        <is>
          <t>MicroFit Connector Receptacle 8 Position (43020-0801)</t>
        </is>
      </c>
      <c r="C27" s="40" t="n"/>
      <c r="D27" s="40" t="inlineStr">
        <is>
          <t>optional</t>
        </is>
      </c>
      <c r="E27" s="40" t="inlineStr">
        <is>
          <t>All</t>
        </is>
      </c>
      <c r="F27" s="41">
        <f>HYPERLINK("https://www.arrow.com/en/products/43020-0801/molex","Arrow")</f>
        <v/>
      </c>
      <c r="G27" s="40" t="n"/>
      <c r="H27" s="40" t="n"/>
      <c r="I27" s="40" t="n"/>
      <c r="J27" s="40" t="n"/>
      <c r="K27" s="40" t="n"/>
      <c r="L27" s="40" t="n"/>
      <c r="M27" s="42" t="inlineStr">
        <is>
          <t>Use on Toolhead if you want one connector</t>
        </is>
      </c>
      <c r="N27" s="40" t="n"/>
    </row>
    <row r="28">
      <c r="A28" s="40" t="inlineStr">
        <is>
          <t>Cables</t>
        </is>
      </c>
      <c r="B28" s="40" t="inlineStr">
        <is>
          <t>MicroFit Connector Plug 8 Position (43025-0800)</t>
        </is>
      </c>
      <c r="C28" s="40" t="n"/>
      <c r="D28" s="40" t="inlineStr">
        <is>
          <t>optional</t>
        </is>
      </c>
      <c r="E28" s="40" t="inlineStr">
        <is>
          <t>All</t>
        </is>
      </c>
      <c r="F28" s="40" t="n"/>
      <c r="G28" s="40" t="n"/>
      <c r="H28" s="40" t="n"/>
      <c r="I28" s="40" t="n"/>
      <c r="J28" s="40" t="n"/>
      <c r="K28" s="40" t="n"/>
      <c r="L28" s="40" t="n"/>
      <c r="M28" s="42" t="inlineStr">
        <is>
          <t>Use on Toolhead if you want one connector</t>
        </is>
      </c>
      <c r="N28" s="44" t="inlineStr">
        <is>
          <t>all links were dead</t>
        </is>
      </c>
    </row>
    <row r="29">
      <c r="A29" s="24" t="inlineStr">
        <is>
          <t>Electronics</t>
        </is>
      </c>
      <c r="B29" s="24" t="inlineStr">
        <is>
          <t>LED Light Bar (12v/24v)</t>
        </is>
      </c>
      <c r="C29" s="24" t="n"/>
      <c r="D29" s="24" t="inlineStr">
        <is>
          <t>2</t>
        </is>
      </c>
      <c r="E29" s="24" t="inlineStr">
        <is>
          <t>All</t>
        </is>
      </c>
      <c r="F29" s="25">
        <f>HYPERLINK("https://www.amazon.com/dp/B00LAAZ2UW","Amazon")</f>
        <v/>
      </c>
      <c r="G29" s="26">
        <f>HYPERLINK("https://amzn.to/35gPg7q","[Affiliate Link]")</f>
        <v/>
      </c>
      <c r="H29" s="24" t="n"/>
      <c r="I29" s="24" t="n"/>
      <c r="J29" s="24" t="n"/>
      <c r="K29" s="24" t="n"/>
      <c r="L29" s="24" t="n"/>
      <c r="M29" s="27" t="inlineStr">
        <is>
          <t>Mounts for these on github</t>
        </is>
      </c>
      <c r="N29" s="24" t="n"/>
    </row>
    <row r="30">
      <c r="A30" s="24" t="inlineStr">
        <is>
          <t>Electronics</t>
        </is>
      </c>
      <c r="B30" s="24" t="inlineStr">
        <is>
          <t>Camera (for Octoprint)</t>
        </is>
      </c>
      <c r="C30" s="24" t="n"/>
      <c r="D30" s="24" t="inlineStr">
        <is>
          <t>1</t>
        </is>
      </c>
      <c r="E30" s="24" t="inlineStr">
        <is>
          <t>All</t>
        </is>
      </c>
      <c r="F30" s="25">
        <f>HYPERLINK("https://www.amazon.com/dp/B00CRJWW2G","Logitech C930e")</f>
        <v/>
      </c>
      <c r="G30" s="26">
        <f>HYPERLINK("https://amzn.to/2IxfKaS","[Affiliate Link]")</f>
        <v/>
      </c>
      <c r="H30" s="26">
        <f>HYPERLINK("https://www.amazon.com/dp/B004FHO5Y6","Logitech C270")</f>
        <v/>
      </c>
      <c r="I30" s="26">
        <f>HYPERLINK("https://amzn.to/2OsBUik","[Affiliate Link]")</f>
        <v/>
      </c>
      <c r="J30" s="24" t="n"/>
      <c r="K30" s="24" t="n"/>
      <c r="L30" s="24" t="n"/>
      <c r="M30" s="27" t="inlineStr">
        <is>
          <t>No Official Mount for these, but there are plenty on thingiverse and the like</t>
        </is>
      </c>
      <c r="N30" s="24" t="n"/>
    </row>
    <row r="31">
      <c r="A31" s="24" t="inlineStr">
        <is>
          <t>Electronics</t>
        </is>
      </c>
      <c r="B31" s="24" t="inlineStr">
        <is>
          <t>Battery Backup (110V US Only) (1500VA/900w)</t>
        </is>
      </c>
      <c r="C31" s="24" t="n"/>
      <c r="D31" s="24" t="inlineStr">
        <is>
          <t>1</t>
        </is>
      </c>
      <c r="E31" s="24" t="inlineStr">
        <is>
          <t>All</t>
        </is>
      </c>
      <c r="F31" s="25">
        <f>HYPERLINK("https://www.amazon.com/dp/B000FBK3QK","Amazon")</f>
        <v/>
      </c>
      <c r="G31" s="26">
        <f>HYPERLINK("https://amzn.to/2OvQeqc","[Affiliate Link]")</f>
        <v/>
      </c>
      <c r="H31" s="24" t="n"/>
      <c r="I31" s="24" t="n"/>
      <c r="J31" s="24" t="n"/>
      <c r="K31" s="24" t="n"/>
      <c r="L31" s="24" t="n"/>
      <c r="M31" s="27" t="inlineStr">
        <is>
          <t>Highly recommended for any printer, this will safely support only 1 voron at a time. Alternative is identical but without a display.</t>
        </is>
      </c>
      <c r="N31" s="28" t="inlineStr">
        <is>
          <t>some links were dead</t>
        </is>
      </c>
    </row>
    <row r="32">
      <c r="A32" s="5" t="inlineStr">
        <is>
          <t>Controller</t>
        </is>
      </c>
      <c r="B32" s="5" t="inlineStr">
        <is>
          <t>Duet 2 Wifi</t>
        </is>
      </c>
      <c r="C32" s="5" t="n"/>
      <c r="D32" s="5" t="inlineStr">
        <is>
          <t>1</t>
        </is>
      </c>
      <c r="E32" s="5" t="inlineStr">
        <is>
          <t>All</t>
        </is>
      </c>
      <c r="F32" s="6">
        <f>HYPERLINK("https://www.filastruder.com/collections/electronics/products/duet-wifi","Filastruder")</f>
        <v/>
      </c>
      <c r="G32" s="5" t="n"/>
      <c r="H32" s="5" t="n"/>
      <c r="I32" s="5" t="n"/>
      <c r="J32" s="5" t="n"/>
      <c r="K32" s="5" t="n"/>
      <c r="L32" s="5" t="n"/>
      <c r="M32" s="8" t="inlineStr">
        <is>
          <t>Duet is largely just more expense. We officially recommend the use of Klipper and not RRF, but you can run your Voron on RRF/Duet.</t>
        </is>
      </c>
      <c r="N32" s="29" t="inlineStr">
        <is>
          <t>some links were dead</t>
        </is>
      </c>
    </row>
    <row r="33">
      <c r="A33" s="5" t="inlineStr">
        <is>
          <t>Controller</t>
        </is>
      </c>
      <c r="B33" s="5" t="inlineStr">
        <is>
          <t>Duet 2 - Duex5</t>
        </is>
      </c>
      <c r="C33" s="5" t="n"/>
      <c r="D33" s="5" t="inlineStr">
        <is>
          <t>1</t>
        </is>
      </c>
      <c r="E33" s="5" t="inlineStr">
        <is>
          <t>All</t>
        </is>
      </c>
      <c r="F33" s="6">
        <f>HYPERLINK("https://www.filastruder.com/collections/electronics/products/duex2-and-duex-5-expansion-board","Filastruder")</f>
        <v/>
      </c>
      <c r="G33" s="5" t="n"/>
      <c r="H33" s="5" t="n"/>
      <c r="I33" s="5" t="n"/>
      <c r="J33" s="5" t="n"/>
      <c r="K33" s="5" t="n"/>
      <c r="L33" s="5" t="n"/>
      <c r="M33" s="8" t="inlineStr">
        <is>
          <t>Duet is largely just more expense. We officially recommend the use of Klipper and not RRF, but you can run your Voron on RRF/Duet.</t>
        </is>
      </c>
      <c r="N33" s="29" t="inlineStr">
        <is>
          <t>some links were dead</t>
        </is>
      </c>
    </row>
    <row r="34">
      <c r="A34" s="5" t="inlineStr">
        <is>
          <t>Controller</t>
        </is>
      </c>
      <c r="B34" s="5" t="inlineStr">
        <is>
          <t>Duet 2 - PT100 Daughter Board</t>
        </is>
      </c>
      <c r="C34" s="5" t="n"/>
      <c r="D34" s="5" t="inlineStr">
        <is>
          <t>1</t>
        </is>
      </c>
      <c r="E34" s="5" t="inlineStr">
        <is>
          <t>All</t>
        </is>
      </c>
      <c r="F34" s="6">
        <f>HYPERLINK("https://www.filastruder.com/collections/electronics/products/temperature-sensor-boards-for-duet","Filastruder")</f>
        <v/>
      </c>
      <c r="G34" s="5" t="n"/>
      <c r="H34" s="5" t="n"/>
      <c r="I34" s="5" t="n"/>
      <c r="J34" s="5" t="n"/>
      <c r="K34" s="5" t="n"/>
      <c r="L34" s="5" t="n"/>
      <c r="M34" s="8" t="inlineStr">
        <is>
          <t>Duet is largely just more expense. We officially recommend the use of Klipper and not RRF, but you can run your Voron on RRF/Duet.</t>
        </is>
      </c>
      <c r="N34" s="29" t="inlineStr">
        <is>
          <t>some links were dead</t>
        </is>
      </c>
    </row>
    <row r="35">
      <c r="A35" s="5" t="inlineStr">
        <is>
          <t>Controller</t>
        </is>
      </c>
      <c r="B35" s="5" t="inlineStr">
        <is>
          <t>Duet Maestro</t>
        </is>
      </c>
      <c r="C35" s="5" t="n"/>
      <c r="D35" s="5" t="inlineStr">
        <is>
          <t>1</t>
        </is>
      </c>
      <c r="E35" s="5" t="inlineStr">
        <is>
          <t>All</t>
        </is>
      </c>
      <c r="F35" s="5" t="n"/>
      <c r="G35" s="5" t="n"/>
      <c r="H35" s="5" t="n"/>
      <c r="I35" s="5" t="n"/>
      <c r="J35" s="5" t="n"/>
      <c r="K35" s="5" t="n"/>
      <c r="L35" s="5" t="n"/>
      <c r="M35" s="8" t="inlineStr">
        <is>
          <t>Duet is largely just more expense. We officially recommend the use of Klipper and not RRF, but you can run your Voron on RRF/Duet.</t>
        </is>
      </c>
      <c r="N35" s="29" t="inlineStr">
        <is>
          <t>all links were dead</t>
        </is>
      </c>
    </row>
    <row r="36">
      <c r="A36" s="5" t="inlineStr">
        <is>
          <t>Controller</t>
        </is>
      </c>
      <c r="B36" s="5" t="inlineStr">
        <is>
          <t>Duet Maestro Expansion Board</t>
        </is>
      </c>
      <c r="C36" s="5" t="n"/>
      <c r="D36" s="5" t="inlineStr">
        <is>
          <t>1</t>
        </is>
      </c>
      <c r="E36" s="5" t="inlineStr">
        <is>
          <t>All</t>
        </is>
      </c>
      <c r="F36" s="6">
        <f>HYPERLINK("https://www.aliexpress.com/item/4000084426106.html","Aliexpress")</f>
        <v/>
      </c>
      <c r="G36" s="7">
        <f>HYPERLINK("https://s.click.aliexpress.com/e/BY1W9KKU","[Affiliate Link]")</f>
        <v/>
      </c>
      <c r="H36" s="5" t="n"/>
      <c r="I36" s="5" t="n"/>
      <c r="J36" s="5" t="n"/>
      <c r="K36" s="5" t="n"/>
      <c r="L36" s="5" t="n"/>
      <c r="M36" s="8" t="inlineStr">
        <is>
          <t>Duet is largely just more expense. We officially recommend the use of Klipper and not RRF, but you can run your Voron on RRF/Duet.</t>
        </is>
      </c>
      <c r="N36" s="29" t="inlineStr">
        <is>
          <t>some links were dead</t>
        </is>
      </c>
    </row>
    <row r="37">
      <c r="A37" s="5" t="inlineStr">
        <is>
          <t>Controller</t>
        </is>
      </c>
      <c r="B37" s="5" t="inlineStr">
        <is>
          <t>2 Pin KK Connector Housing</t>
        </is>
      </c>
      <c r="C37" s="5" t="n"/>
      <c r="D37" s="5" t="inlineStr">
        <is>
          <t>Spare</t>
        </is>
      </c>
      <c r="E37" s="5" t="inlineStr">
        <is>
          <t>All</t>
        </is>
      </c>
      <c r="F37" s="6">
        <f>HYPERLINK("https://www.digikey.com/products/en","Digikey")</f>
        <v/>
      </c>
      <c r="G37" s="5" t="n"/>
      <c r="H37" s="5" t="n"/>
      <c r="I37" s="5" t="n"/>
      <c r="J37" s="5" t="n"/>
      <c r="K37" s="5" t="n"/>
      <c r="L37" s="5" t="n"/>
      <c r="M37" s="5" t="n"/>
      <c r="N37" s="29" t="inlineStr">
        <is>
          <t>some links were dead</t>
        </is>
      </c>
    </row>
    <row r="38">
      <c r="A38" s="5" t="inlineStr">
        <is>
          <t>Controller</t>
        </is>
      </c>
      <c r="B38" s="5" t="inlineStr">
        <is>
          <t>3 Pin KK Connector Housing</t>
        </is>
      </c>
      <c r="C38" s="5" t="n"/>
      <c r="D38" s="5" t="inlineStr">
        <is>
          <t>Spare</t>
        </is>
      </c>
      <c r="E38" s="5" t="inlineStr">
        <is>
          <t>All</t>
        </is>
      </c>
      <c r="F38" s="6">
        <f>HYPERLINK("https://www.digikey.com/products/en","Digikey")</f>
        <v/>
      </c>
      <c r="G38" s="5" t="n"/>
      <c r="H38" s="5" t="n"/>
      <c r="I38" s="5" t="n"/>
      <c r="J38" s="5" t="n"/>
      <c r="K38" s="5" t="n"/>
      <c r="L38" s="5" t="n"/>
      <c r="M38" s="5" t="n"/>
      <c r="N38" s="5" t="n"/>
    </row>
    <row r="39">
      <c r="A39" s="5" t="inlineStr">
        <is>
          <t>Controller</t>
        </is>
      </c>
      <c r="B39" s="5" t="inlineStr">
        <is>
          <t>4 Pin KK Connector Housing</t>
        </is>
      </c>
      <c r="C39" s="5" t="n"/>
      <c r="D39" s="5" t="inlineStr">
        <is>
          <t>Spare</t>
        </is>
      </c>
      <c r="E39" s="5" t="inlineStr">
        <is>
          <t>All</t>
        </is>
      </c>
      <c r="F39" s="6">
        <f>HYPERLINK("https://www.digikey.com/products/en","Digikey")</f>
        <v/>
      </c>
      <c r="G39" s="5" t="n"/>
      <c r="H39" s="5" t="n"/>
      <c r="I39" s="5" t="n"/>
      <c r="J39" s="5" t="n"/>
      <c r="K39" s="5" t="n"/>
      <c r="L39" s="5" t="n"/>
      <c r="M39" s="5" t="n"/>
      <c r="N39" s="5" t="n"/>
    </row>
    <row r="40">
      <c r="A40" s="5" t="inlineStr">
        <is>
          <t>Controller</t>
        </is>
      </c>
      <c r="B40" s="5" t="inlineStr">
        <is>
          <t>5 Pin KK Connector Housing</t>
        </is>
      </c>
      <c r="C40" s="5" t="n"/>
      <c r="D40" s="5" t="inlineStr">
        <is>
          <t>Spare</t>
        </is>
      </c>
      <c r="E40" s="5" t="inlineStr">
        <is>
          <t>All</t>
        </is>
      </c>
      <c r="F40" s="6">
        <f>HYPERLINK("https://www.digikey.com/products/en","Digikey")</f>
        <v/>
      </c>
      <c r="G40" s="5" t="n"/>
      <c r="H40" s="5" t="n"/>
      <c r="I40" s="5" t="n"/>
      <c r="J40" s="5" t="n"/>
      <c r="K40" s="5" t="n"/>
      <c r="L40" s="5" t="n"/>
      <c r="M40" s="5" t="n"/>
      <c r="N40" s="5" t="n"/>
    </row>
    <row r="41">
      <c r="A41" s="5" t="inlineStr">
        <is>
          <t>Controller</t>
        </is>
      </c>
      <c r="B41" s="5" t="inlineStr">
        <is>
          <t>KK Crimp Pin</t>
        </is>
      </c>
      <c r="C41" s="5" t="n"/>
      <c r="D41" s="5" t="inlineStr">
        <is>
          <t>Spare</t>
        </is>
      </c>
      <c r="E41" s="5" t="inlineStr">
        <is>
          <t>All</t>
        </is>
      </c>
      <c r="F41" s="6">
        <f>HYPERLINK("https://www.digikey.com/product-detail/en/molex/0008500113/WM1114CT-ND/467980","Digikey")</f>
        <v/>
      </c>
      <c r="G41" s="5" t="n"/>
      <c r="H41" s="5" t="n"/>
      <c r="I41" s="5" t="n"/>
      <c r="J41" s="5" t="n"/>
      <c r="K41" s="5" t="n"/>
      <c r="L41" s="5" t="n"/>
      <c r="M41" s="5" t="n"/>
      <c r="N41" s="5" t="n"/>
    </row>
    <row r="42">
      <c r="A42" s="5" t="inlineStr">
        <is>
          <t>Controller</t>
        </is>
      </c>
      <c r="B42" s="5" t="inlineStr">
        <is>
          <t>Bigtree SKR 1.4</t>
        </is>
      </c>
      <c r="C42" s="5" t="n"/>
      <c r="D42" s="5" t="inlineStr">
        <is>
          <t>2</t>
        </is>
      </c>
      <c r="E42" s="5" t="inlineStr">
        <is>
          <t>All</t>
        </is>
      </c>
      <c r="F42" s="6">
        <f>HYPERLINK("https://www.aliexpress.com/item/4000470048293.html","Aliexpress")</f>
        <v/>
      </c>
      <c r="G42" s="5" t="n"/>
      <c r="H42" s="5" t="n"/>
      <c r="I42" s="5" t="n"/>
      <c r="J42" s="5" t="n"/>
      <c r="K42" s="5" t="n"/>
      <c r="L42" s="5" t="n"/>
      <c r="M42" s="8" t="inlineStr">
        <is>
          <t>Quickly on its way to becoming the recommended controller for VORON machines</t>
        </is>
      </c>
      <c r="N42" s="5" t="n"/>
    </row>
    <row r="43">
      <c r="A43" s="5" t="inlineStr">
        <is>
          <t>Controller</t>
        </is>
      </c>
      <c r="B43" s="5" t="inlineStr">
        <is>
          <t>TMC 2209 Drivers</t>
        </is>
      </c>
      <c r="C43" s="5" t="n"/>
      <c r="D43" s="5" t="inlineStr">
        <is>
          <t>7</t>
        </is>
      </c>
      <c r="E43" s="5" t="inlineStr">
        <is>
          <t>All</t>
        </is>
      </c>
      <c r="F43" s="6">
        <f>HYPERLINK("https://www.aliexpress.com/item/33029587820.html","BIGTREETECH")</f>
        <v/>
      </c>
      <c r="G43" s="7">
        <f>HYPERLINK("https://s.click.aliexpress.com/e/_dUlA1Bk","[Affiliate Link]")</f>
        <v/>
      </c>
      <c r="H43" s="7">
        <f>HYPERLINK("https://www.aliexpress.com/item/4000206288948.html","Aliexpress")</f>
        <v/>
      </c>
      <c r="I43" s="7">
        <f>HYPERLINK("https://s.click.aliexpress.com/e/38lTe6y0","[Affiliate Link]")</f>
        <v/>
      </c>
      <c r="J43" s="7">
        <f>HYPERLINK("https://www.aliexpress.com/item/33047241001.html","Just the Drivers (TMC 2209)")</f>
        <v/>
      </c>
      <c r="K43" s="7">
        <f>HYPERLINK("https://s.click.aliexpress.com/e/_dW2vIwt","[Affiliate Link]")</f>
        <v/>
      </c>
      <c r="L43" s="5" t="n"/>
      <c r="M43" s="8" t="inlineStr">
        <is>
          <t>Use 2209 drivers w\ SKR 1.4 boards</t>
        </is>
      </c>
      <c r="N43" s="29" t="inlineStr">
        <is>
          <t>some links were dead</t>
        </is>
      </c>
    </row>
    <row r="44">
      <c r="A44" s="5" t="inlineStr">
        <is>
          <t>Controller</t>
        </is>
      </c>
      <c r="B44" s="5" t="inlineStr">
        <is>
          <t>JST XHP-2 Housing</t>
        </is>
      </c>
      <c r="C44" s="5" t="n"/>
      <c r="D44" s="5" t="inlineStr">
        <is>
          <t>Spare</t>
        </is>
      </c>
      <c r="E44" s="5" t="inlineStr">
        <is>
          <t>All</t>
        </is>
      </c>
      <c r="F44" s="6">
        <f>HYPERLINK("https://www.digikey.com/product-detail/en/jst-sales-america-inc/XHP-2/455-2266-ND/555485","Digikey")</f>
        <v/>
      </c>
      <c r="G44" s="5" t="n"/>
      <c r="H44" s="5" t="n"/>
      <c r="I44" s="5" t="n"/>
      <c r="J44" s="5" t="n"/>
      <c r="K44" s="5" t="n"/>
      <c r="L44" s="5" t="n"/>
      <c r="M44" s="5" t="n"/>
      <c r="N44" s="29" t="inlineStr">
        <is>
          <t>some links were dead</t>
        </is>
      </c>
    </row>
    <row r="45">
      <c r="A45" s="5" t="inlineStr">
        <is>
          <t>Controller</t>
        </is>
      </c>
      <c r="B45" s="5" t="inlineStr">
        <is>
          <t>JST XHP-3 Housing</t>
        </is>
      </c>
      <c r="C45" s="5" t="n"/>
      <c r="D45" s="5" t="inlineStr">
        <is>
          <t>Spare</t>
        </is>
      </c>
      <c r="E45" s="5" t="inlineStr">
        <is>
          <t>All</t>
        </is>
      </c>
      <c r="F45" s="6">
        <f>HYPERLINK("https://www.digikey.com/product-detail/en/jst-sales-america-inc/XHP-3/455-2219-ND/1651017","Digikey")</f>
        <v/>
      </c>
      <c r="G45" s="5" t="n"/>
      <c r="H45" s="5" t="n"/>
      <c r="I45" s="5" t="n"/>
      <c r="J45" s="5" t="n"/>
      <c r="K45" s="5" t="n"/>
      <c r="L45" s="5" t="n"/>
      <c r="M45" s="5" t="n"/>
      <c r="N45" s="5" t="n"/>
    </row>
    <row r="46">
      <c r="A46" s="5" t="inlineStr">
        <is>
          <t>Controller</t>
        </is>
      </c>
      <c r="B46" s="5" t="inlineStr">
        <is>
          <t>JST XHP-4 Housing</t>
        </is>
      </c>
      <c r="C46" s="5" t="n"/>
      <c r="D46" s="5" t="inlineStr">
        <is>
          <t>Spare</t>
        </is>
      </c>
      <c r="E46" s="5" t="inlineStr">
        <is>
          <t>All</t>
        </is>
      </c>
      <c r="F46" s="6">
        <f>HYPERLINK("https://www.digikey.com/product-detail/en/jst-sales-america-inc/XHP-4/455-2267-ND/683353","Digikey")</f>
        <v/>
      </c>
      <c r="G46" s="5" t="n"/>
      <c r="H46" s="5" t="n"/>
      <c r="I46" s="5" t="n"/>
      <c r="J46" s="5" t="n"/>
      <c r="K46" s="5" t="n"/>
      <c r="L46" s="5" t="n"/>
      <c r="M46" s="5" t="n"/>
      <c r="N46" s="5" t="n"/>
    </row>
    <row r="47">
      <c r="A47" s="5" t="inlineStr">
        <is>
          <t>Controller</t>
        </is>
      </c>
      <c r="B47" s="5" t="inlineStr">
        <is>
          <t>JST Crimp Pin (22-28AWG)</t>
        </is>
      </c>
      <c r="C47" s="5" t="n"/>
      <c r="D47" s="5" t="inlineStr">
        <is>
          <t>Spare</t>
        </is>
      </c>
      <c r="E47" s="5" t="inlineStr">
        <is>
          <t>All</t>
        </is>
      </c>
      <c r="F47" s="6">
        <f>HYPERLINK("https://www.digikey.com/product-detail/en/jst-sales-america-inc/SXH-001T-P0.6/455-1135-1-ND/527370","Digikey")</f>
        <v/>
      </c>
      <c r="G47" s="5" t="n"/>
      <c r="H47" s="5" t="n"/>
      <c r="I47" s="5" t="n"/>
      <c r="J47" s="5" t="n"/>
      <c r="K47" s="5" t="n"/>
      <c r="L47" s="5" t="n"/>
      <c r="M47" s="5" t="n"/>
      <c r="N47" s="5" t="n"/>
    </row>
    <row r="48">
      <c r="A48" s="35" t="inlineStr">
        <is>
          <t>Misc</t>
        </is>
      </c>
      <c r="B48" s="35" t="inlineStr">
        <is>
          <t>Mosquito Hotend Sock</t>
        </is>
      </c>
      <c r="C48" s="35" t="n"/>
      <c r="D48" s="35" t="inlineStr">
        <is>
          <t>Spare</t>
        </is>
      </c>
      <c r="E48" s="35" t="inlineStr">
        <is>
          <t>All</t>
        </is>
      </c>
      <c r="F48" s="35" t="n"/>
      <c r="G48" s="35" t="n"/>
      <c r="H48" s="35" t="n"/>
      <c r="I48" s="35" t="n"/>
      <c r="J48" s="35" t="n"/>
      <c r="K48" s="35" t="n"/>
      <c r="L48" s="35" t="n"/>
      <c r="M48" s="37" t="inlineStr">
        <is>
          <t>buy in bulk, these are wear items</t>
        </is>
      </c>
      <c r="N48" s="38" t="inlineStr">
        <is>
          <t>all links were dead</t>
        </is>
      </c>
    </row>
    <row r="49">
      <c r="A49" s="35" t="inlineStr">
        <is>
          <t>Misc</t>
        </is>
      </c>
      <c r="B49" s="35" t="inlineStr">
        <is>
          <t>V6 Hotend Sock</t>
        </is>
      </c>
      <c r="C49" s="35" t="n"/>
      <c r="D49" s="35" t="inlineStr">
        <is>
          <t>Spare</t>
        </is>
      </c>
      <c r="E49" s="35" t="inlineStr">
        <is>
          <t>All</t>
        </is>
      </c>
      <c r="F49" s="36">
        <f>HYPERLINK("https://www.aliexpress.com/item/32922594383.html","Aliexpress")</f>
        <v/>
      </c>
      <c r="G49" s="39">
        <f>HYPERLINK("https://s.click.aliexpress.com/e/NpWkJah2","[Affiliate Link]")</f>
        <v/>
      </c>
      <c r="H49" s="35" t="n"/>
      <c r="I49" s="35" t="n"/>
      <c r="J49" s="35" t="n"/>
      <c r="K49" s="35" t="n"/>
      <c r="L49" s="35" t="n"/>
      <c r="M49" s="37" t="inlineStr">
        <is>
          <t>buy in bulk, these are wear items</t>
        </is>
      </c>
      <c r="N49" s="35" t="n"/>
    </row>
    <row r="50">
      <c r="A50" s="35" t="inlineStr">
        <is>
          <t>Misc</t>
        </is>
      </c>
      <c r="B50" s="35" t="inlineStr">
        <is>
          <t>Volcano Hotend Sock</t>
        </is>
      </c>
      <c r="C50" s="35" t="n"/>
      <c r="D50" s="35" t="inlineStr">
        <is>
          <t>Spare</t>
        </is>
      </c>
      <c r="E50" s="35" t="inlineStr">
        <is>
          <t>All</t>
        </is>
      </c>
      <c r="F50" s="36">
        <f>HYPERLINK("https://www.aliexpress.com/item/32970236537.html","Aliexpress")</f>
        <v/>
      </c>
      <c r="G50" s="39">
        <f>HYPERLINK("https://s.click.aliexpress.com/e/F22jPtbK","[Affiliate Link]")</f>
        <v/>
      </c>
      <c r="H50" s="35" t="n"/>
      <c r="I50" s="35" t="n"/>
      <c r="J50" s="35" t="n"/>
      <c r="K50" s="35" t="n"/>
      <c r="L50" s="35" t="n"/>
      <c r="M50" s="37" t="inlineStr">
        <is>
          <t>buy in bulk, these are wear items</t>
        </is>
      </c>
      <c r="N50" s="35" t="n"/>
    </row>
    <row r="51">
      <c r="A51" s="35" t="inlineStr">
        <is>
          <t>Misc</t>
        </is>
      </c>
      <c r="B51" s="35" t="inlineStr">
        <is>
          <t>Filament Out Switch</t>
        </is>
      </c>
      <c r="C51" s="35" t="n"/>
      <c r="D51" s="35" t="inlineStr">
        <is>
          <t>Spare</t>
        </is>
      </c>
      <c r="E51" s="35" t="inlineStr">
        <is>
          <t>All</t>
        </is>
      </c>
      <c r="F51" s="36">
        <f>HYPERLINK("https://www.aliexpress.com/item/32829808063.html","Aliexpress")</f>
        <v/>
      </c>
      <c r="G51" s="39">
        <f>HYPERLINK("https://s.click.aliexpress.com/e/BhjkEO4o","[Affiliate Link]")</f>
        <v/>
      </c>
      <c r="H51" s="35" t="n"/>
      <c r="I51" s="35" t="n"/>
      <c r="J51" s="35" t="n"/>
      <c r="K51" s="35" t="n"/>
      <c r="L51" s="35" t="n"/>
      <c r="M51" s="37" t="inlineStr">
        <is>
          <t>Holder is on the mobius github</t>
        </is>
      </c>
      <c r="N51" s="35" t="n"/>
    </row>
    <row r="52">
      <c r="A52" s="35" t="inlineStr">
        <is>
          <t>Misc</t>
        </is>
      </c>
      <c r="B52" s="35" t="inlineStr">
        <is>
          <t>Nozzle Scrubber Brush</t>
        </is>
      </c>
      <c r="C52" s="35" t="n"/>
      <c r="D52" s="35" t="inlineStr">
        <is>
          <t>1</t>
        </is>
      </c>
      <c r="E52" s="35" t="inlineStr">
        <is>
          <t>All</t>
        </is>
      </c>
      <c r="F52" s="35" t="n"/>
      <c r="G52" s="35" t="n"/>
      <c r="H52" s="35" t="n"/>
      <c r="I52" s="35" t="n"/>
      <c r="J52" s="35" t="n"/>
      <c r="K52" s="35" t="n"/>
      <c r="L52" s="35" t="n"/>
      <c r="M52" s="37" t="inlineStr">
        <is>
          <t>Cut the handle off with a hacksaw</t>
        </is>
      </c>
      <c r="N52" s="38" t="inlineStr">
        <is>
          <t>all links were dead</t>
        </is>
      </c>
    </row>
    <row r="53">
      <c r="A53" s="35" t="inlineStr">
        <is>
          <t>Misc</t>
        </is>
      </c>
      <c r="B53" s="35" t="inlineStr">
        <is>
          <t>Fume Extractor Carbon Filter Element</t>
        </is>
      </c>
      <c r="C53" s="35" t="n"/>
      <c r="D53" s="35" t="inlineStr">
        <is>
          <t>1</t>
        </is>
      </c>
      <c r="E53" s="35" t="inlineStr">
        <is>
          <t>All</t>
        </is>
      </c>
      <c r="F53" s="36">
        <f>HYPERLINK("https://www.amazon.com/dp/B07KWYTCG5","Amazon")</f>
        <v/>
      </c>
      <c r="G53" s="35" t="n"/>
      <c r="H53" s="39">
        <f>HYPERLINK("https://www.aliexpress.com/item/32981088131.html","Aliexpress")</f>
        <v/>
      </c>
      <c r="I53" s="39">
        <f>HYPERLINK("https://s.click.aliexpress.com/e/4B9KGk8u","[Affiliate Link]")</f>
        <v/>
      </c>
      <c r="J53" s="39">
        <f>HYPERLINK("https://www.aliexpress.com/item/33051112482.html","Aliexpress")</f>
        <v/>
      </c>
      <c r="K53" s="39">
        <f>HYPERLINK("https://s.click.aliexpress.com/e/E6KiCRte","[Affiliate Link]")</f>
        <v/>
      </c>
      <c r="L53" s="35" t="n"/>
      <c r="M53" s="37" t="inlineStr">
        <is>
          <t>Goes in rear exhaust housing, may require slight cut to size to fit, stack multiple inside to fill volume</t>
        </is>
      </c>
      <c r="N53" s="35" t="n"/>
    </row>
    <row r="54">
      <c r="A54" s="35" t="inlineStr">
        <is>
          <t>Misc</t>
        </is>
      </c>
      <c r="B54" s="35" t="inlineStr">
        <is>
          <t>3M VHB Tape</t>
        </is>
      </c>
      <c r="C54" s="35" t="n"/>
      <c r="D54" s="35" t="inlineStr">
        <is>
          <t>1</t>
        </is>
      </c>
      <c r="E54" s="35" t="inlineStr">
        <is>
          <t>All</t>
        </is>
      </c>
      <c r="F54" s="36">
        <f>HYPERLINK("https://www.amazon.com/dp/B00GTAB20M","Amazon")</f>
        <v/>
      </c>
      <c r="G54" s="39">
        <f>HYPERLINK("https://amzn.to/2Ywn4JB","[Affiliate Link]")</f>
        <v/>
      </c>
      <c r="H54" s="35" t="n"/>
      <c r="I54" s="35" t="n"/>
      <c r="J54" s="35" t="n"/>
      <c r="K54" s="35" t="n"/>
      <c r="L54" s="35" t="n"/>
      <c r="M54" s="35" t="n"/>
      <c r="N54" s="35" t="n"/>
    </row>
    <row r="55">
      <c r="A55" s="35" t="inlineStr">
        <is>
          <t>Misc</t>
        </is>
      </c>
      <c r="B55" s="35" t="inlineStr">
        <is>
          <t>Foam Panel Tape (5mm Wide/1mm Thick)</t>
        </is>
      </c>
      <c r="C55" s="35" t="n"/>
      <c r="D55" s="35" t="inlineStr">
        <is>
          <t>2</t>
        </is>
      </c>
      <c r="E55" s="35" t="inlineStr">
        <is>
          <t>All</t>
        </is>
      </c>
      <c r="F55" s="36">
        <f>HYPERLINK("https://www.aliexpress.com/item/32885016096.html","Aliexpress")</f>
        <v/>
      </c>
      <c r="G55" s="39">
        <f>HYPERLINK("https://s.click.aliexpress.com/e/KQxWUrx6","[Affiliate Link]")</f>
        <v/>
      </c>
      <c r="H55" s="39">
        <f>HYPERLINK("https://www.amazon.com/dp/B07L6JKJD1","Amazon")</f>
        <v/>
      </c>
      <c r="I55" s="39">
        <f>HYPERLINK("https://amzn.to/2qxGYIn","[Affiliate Link]")</f>
        <v/>
      </c>
      <c r="J55" s="35" t="n"/>
      <c r="K55" s="35" t="n"/>
      <c r="L55" s="35" t="n"/>
      <c r="M55" s="35" t="n"/>
      <c r="N55" s="35" t="n"/>
    </row>
    <row r="56">
      <c r="B56" s="53" t="inlineStr">
        <is>
          <t>"As an Amazon Associate we earn from qualifying purchases.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9.9" customWidth="1" min="1" max="1"/>
    <col width="34.5" customWidth="1" min="2" max="2"/>
    <col width="17.1" customWidth="1" min="3" max="3"/>
    <col width="7" customWidth="1" min="4" max="4"/>
    <col width="8.5" customWidth="1" min="5" max="5"/>
    <col width="20" customWidth="1" min="6" max="6"/>
    <col width="15" customWidth="1" min="7" max="7"/>
    <col width="20" customWidth="1" min="8" max="8"/>
    <col width="15" customWidth="1" min="9" max="9"/>
    <col width="90" customWidth="1" min="10" max="10"/>
    <col width="20" customWidth="1" min="11" max="11"/>
  </cols>
  <sheetData>
    <row r="1">
      <c r="A1" s="3" t="inlineStr">
        <is>
          <t>Category</t>
        </is>
      </c>
      <c r="B1" s="3" t="inlineStr">
        <is>
          <t>Component</t>
        </is>
      </c>
      <c r="C1" s="3" t="inlineStr">
        <is>
          <t>Standard</t>
        </is>
      </c>
      <c r="D1" s="3" t="inlineStr">
        <is>
          <t>Qty</t>
        </is>
      </c>
      <c r="E1" s="3" t="inlineStr">
        <is>
          <t>Size</t>
        </is>
      </c>
      <c r="F1" s="4" t="inlineStr">
        <is>
          <t>Recommended</t>
        </is>
      </c>
      <c r="G1" s="3" t="inlineStr"/>
      <c r="H1" s="4" t="inlineStr">
        <is>
          <t>Alternative Source</t>
        </is>
      </c>
      <c r="I1" s="3" t="inlineStr"/>
      <c r="J1" s="3" t="inlineStr">
        <is>
          <t>Notes</t>
        </is>
      </c>
      <c r="K1" s="3" t="inlineStr">
        <is>
          <t>Link check</t>
        </is>
      </c>
    </row>
    <row r="2">
      <c r="A2" s="64" t="inlineStr">
        <is>
          <t>Tools</t>
        </is>
      </c>
      <c r="B2" s="64" t="inlineStr">
        <is>
          <t>NLGI1 or 2 Grease eg:Mobilux EP1/EP2, Polyrex 222, SHC 220</t>
        </is>
      </c>
      <c r="C2" s="64" t="n"/>
      <c r="D2" s="64" t="inlineStr">
        <is>
          <t>1</t>
        </is>
      </c>
      <c r="E2" s="64" t="inlineStr">
        <is>
          <t>All</t>
        </is>
      </c>
      <c r="F2" s="64" t="n"/>
      <c r="G2" s="64" t="n"/>
      <c r="H2" s="64" t="n"/>
      <c r="I2" s="64" t="n"/>
      <c r="J2" s="65" t="inlineStr">
        <is>
          <t>For Linear Rails</t>
        </is>
      </c>
      <c r="K2" s="64" t="n"/>
    </row>
    <row r="3">
      <c r="A3" s="64" t="inlineStr">
        <is>
          <t>Tools</t>
        </is>
      </c>
      <c r="B3" s="64" t="inlineStr">
        <is>
          <t>Loctite 641 or 609 - Shaft Retaining Compound - Medium Strength, Good to 300F</t>
        </is>
      </c>
      <c r="C3" s="64" t="n"/>
      <c r="D3" s="64" t="inlineStr">
        <is>
          <t>1</t>
        </is>
      </c>
      <c r="E3" s="64" t="inlineStr">
        <is>
          <t>All</t>
        </is>
      </c>
      <c r="F3" s="66">
        <f>HYPERLINK("https://www.grainger.com/product/LOCTITE-Retaining-Compound-19TT75","Grainger")</f>
        <v/>
      </c>
      <c r="G3" s="64" t="n"/>
      <c r="H3" s="67">
        <f>HYPERLINK("https://www.zoro.com/loctite-liquid-034-oz-retaining-compound-0006-233546/i/G6219927","Zoro")</f>
        <v/>
      </c>
      <c r="I3" s="64" t="n"/>
      <c r="J3" s="65" t="inlineStr">
        <is>
          <t>Bond Shafts to Bearings or Pulleys</t>
        </is>
      </c>
      <c r="K3" s="64" t="n"/>
    </row>
    <row r="4">
      <c r="A4" s="64" t="inlineStr">
        <is>
          <t>Tools</t>
        </is>
      </c>
      <c r="B4" s="64" t="inlineStr">
        <is>
          <t>Flush Wire Cutters</t>
        </is>
      </c>
      <c r="C4" s="64" t="n"/>
      <c r="D4" s="64" t="inlineStr">
        <is>
          <t>1</t>
        </is>
      </c>
      <c r="E4" s="64" t="inlineStr">
        <is>
          <t>All</t>
        </is>
      </c>
      <c r="F4" s="66">
        <f>HYPERLINK("https://www.amazon.com/dp/B00FZPDG1K","Amazon")</f>
        <v/>
      </c>
      <c r="G4" s="64" t="n"/>
      <c r="H4" s="64" t="n"/>
      <c r="I4" s="64" t="n"/>
      <c r="J4" s="65" t="inlineStr">
        <is>
          <t>Great for cutting zipties and small gauge wire</t>
        </is>
      </c>
      <c r="K4" s="64" t="n"/>
    </row>
    <row r="5">
      <c r="A5" s="64" t="inlineStr">
        <is>
          <t>Tools</t>
        </is>
      </c>
      <c r="B5" s="64" t="inlineStr">
        <is>
          <t>Engineer PA-09 Crimping Tool</t>
        </is>
      </c>
      <c r="C5" s="64" t="n"/>
      <c r="D5" s="64" t="inlineStr">
        <is>
          <t>1</t>
        </is>
      </c>
      <c r="E5" s="64" t="inlineStr">
        <is>
          <t>All</t>
        </is>
      </c>
      <c r="F5" s="66">
        <f>HYPERLINK("https://www.amazon.com/dp/B002AVVO7K","Amazon")</f>
        <v/>
      </c>
      <c r="G5" s="67">
        <f>HYPERLINK("https://amzn.to/2TmuxfS","[Affiliate Link]")</f>
        <v/>
      </c>
      <c r="H5" s="64" t="n"/>
      <c r="I5" s="64" t="n"/>
      <c r="J5" s="65" t="inlineStr">
        <is>
          <t>This is THE best tool for the crimps on this project. It is worth every penny. Many people tried cheaper alternatives and ultimately landed on a pair of these as well.</t>
        </is>
      </c>
      <c r="K5" s="64" t="n"/>
    </row>
    <row r="6">
      <c r="A6" s="64" t="inlineStr">
        <is>
          <t>Tools</t>
        </is>
      </c>
      <c r="B6" s="64" t="inlineStr">
        <is>
          <t>Hex Ball Driver Kit</t>
        </is>
      </c>
      <c r="C6" s="64" t="n"/>
      <c r="D6" s="64" t="inlineStr">
        <is>
          <t>1</t>
        </is>
      </c>
      <c r="E6" s="64" t="inlineStr">
        <is>
          <t>All</t>
        </is>
      </c>
      <c r="F6" s="66">
        <f>HYPERLINK("https://www.amazon.com/dp/B0006O4ADI","Amazon")</f>
        <v/>
      </c>
      <c r="G6" s="67">
        <f>HYPERLINK("https://amzn.to/2C4l1n9","[Affiliate Link]")</f>
        <v/>
      </c>
      <c r="H6" s="67">
        <f>HYPERLINK("https://www.amazon.com/dp/B000NZ5QE2","Amazon")</f>
        <v/>
      </c>
      <c r="I6" s="67">
        <f>HYPERLINK("https://amzn.to/2W0dYo0","[Affiliate Link]")</f>
        <v/>
      </c>
      <c r="J6" s="65" t="inlineStr">
        <is>
          <t>Quality drivers for all of the fasteners, Wiha alternative is great, but costs more</t>
        </is>
      </c>
      <c r="K6" s="64" t="n"/>
    </row>
    <row r="7">
      <c r="A7" s="64" t="inlineStr">
        <is>
          <t>Tools</t>
        </is>
      </c>
      <c r="B7" s="64" t="inlineStr">
        <is>
          <t>Small Screwdriver Kit - Xiaomi Wiha set</t>
        </is>
      </c>
      <c r="C7" s="64" t="n"/>
      <c r="D7" s="64" t="inlineStr">
        <is>
          <t>1</t>
        </is>
      </c>
      <c r="E7" s="64" t="inlineStr">
        <is>
          <t>All</t>
        </is>
      </c>
      <c r="F7" s="66">
        <f>HYPERLINK("https://www.amazon.com/dp/B07KF96XQW","Amazon")</f>
        <v/>
      </c>
      <c r="G7" s="67">
        <f>HYPERLINK("https://amzn.to/2J4C3oA","[Affiliate Link]")</f>
        <v/>
      </c>
      <c r="H7" s="64" t="n"/>
      <c r="I7" s="64" t="n"/>
      <c r="J7" s="65" t="inlineStr">
        <is>
          <t>Wiha stuff is the best</t>
        </is>
      </c>
      <c r="K7" s="64" t="n"/>
    </row>
    <row r="8">
      <c r="A8" s="64" t="inlineStr">
        <is>
          <t>Tools</t>
        </is>
      </c>
      <c r="B8" s="64" t="inlineStr">
        <is>
          <t>Ferrule Crimping Tool</t>
        </is>
      </c>
      <c r="C8" s="64" t="n"/>
      <c r="D8" s="64" t="inlineStr">
        <is>
          <t>1</t>
        </is>
      </c>
      <c r="E8" s="64" t="inlineStr">
        <is>
          <t>All</t>
        </is>
      </c>
      <c r="F8" s="64" t="n"/>
      <c r="G8" s="64" t="n"/>
      <c r="H8" s="64" t="n"/>
      <c r="I8" s="64" t="n"/>
      <c r="J8" s="65" t="inlineStr">
        <is>
          <t>Ferrules for DC Power In/Out</t>
        </is>
      </c>
      <c r="K8" s="68" t="inlineStr">
        <is>
          <t>all links were dead</t>
        </is>
      </c>
    </row>
    <row r="9">
      <c r="A9" s="64" t="inlineStr">
        <is>
          <t>Tools</t>
        </is>
      </c>
      <c r="B9" s="64" t="inlineStr">
        <is>
          <t>Ratcheting Wire Terminal Crimper</t>
        </is>
      </c>
      <c r="C9" s="64" t="n"/>
      <c r="D9" s="64" t="inlineStr">
        <is>
          <t>1</t>
        </is>
      </c>
      <c r="E9" s="64" t="inlineStr">
        <is>
          <t>All</t>
        </is>
      </c>
      <c r="F9" s="66">
        <f>HYPERLINK("https://smile.amazon.com/gp/product/B0069TRKJ0","Amazon")</f>
        <v/>
      </c>
      <c r="G9" s="67">
        <f>HYPERLINK("https://amzn.to/2n2ZF4K","[Affiliate Link]")</f>
        <v/>
      </c>
      <c r="H9" s="64" t="n"/>
      <c r="I9" s="64" t="n"/>
      <c r="J9" s="65" t="inlineStr">
        <is>
          <t>For Spade/Ring/Blade Terminals</t>
        </is>
      </c>
      <c r="K9" s="64" t="n"/>
    </row>
    <row r="10">
      <c r="A10" s="64" t="inlineStr">
        <is>
          <t>Tools</t>
        </is>
      </c>
      <c r="B10" s="64" t="inlineStr">
        <is>
          <t>Auto Adjusting - Wire Strippers</t>
        </is>
      </c>
      <c r="C10" s="64" t="n"/>
      <c r="D10" s="64" t="inlineStr">
        <is>
          <t>1</t>
        </is>
      </c>
      <c r="E10" s="64" t="inlineStr">
        <is>
          <t>All</t>
        </is>
      </c>
      <c r="F10" s="66">
        <f>HYPERLINK("https://smile.amazon.com/gp/product/B01018CYV8","Amazon")</f>
        <v/>
      </c>
      <c r="G10" s="67">
        <f>HYPERLINK("https://amzn.to/2nbHqdL","[Affiliate Link]")</f>
        <v/>
      </c>
      <c r="H10" s="67">
        <f>HYPERLINK("https://www.amazon.com/dp/B000R895YM","Knipex")</f>
        <v/>
      </c>
      <c r="I10" s="67">
        <f>HYPERLINK("https://amzn.to/2P4948j","[Affiliate Link]")</f>
        <v/>
      </c>
      <c r="J10" s="65" t="inlineStr">
        <is>
          <t>For Stripping Wire, knipex are nicer, but cost a lot more</t>
        </is>
      </c>
      <c r="K10" s="64" t="n"/>
    </row>
    <row r="11">
      <c r="A11" s="64" t="inlineStr">
        <is>
          <t>Tools</t>
        </is>
      </c>
      <c r="B11" s="64" t="inlineStr">
        <is>
          <t>Microfit Depinning Tool</t>
        </is>
      </c>
      <c r="C11" s="64" t="n"/>
      <c r="D11" s="64" t="inlineStr">
        <is>
          <t>1</t>
        </is>
      </c>
      <c r="E11" s="64" t="inlineStr">
        <is>
          <t>All</t>
        </is>
      </c>
      <c r="F11" s="66">
        <f>HYPERLINK("https://www.digikey.com/catalog/en/partgroup/micro-fit-3-0-series/22521","Digikey")</f>
        <v/>
      </c>
      <c r="G11" s="64" t="n"/>
      <c r="H11" s="64" t="n"/>
      <c r="I11" s="64" t="n"/>
      <c r="J11" s="65" t="inlineStr">
        <is>
          <t>Not required, pain to use, but it will save you once or twice</t>
        </is>
      </c>
      <c r="K11" s="64" t="n"/>
    </row>
    <row r="12">
      <c r="A12" s="64" t="inlineStr">
        <is>
          <t>Tools</t>
        </is>
      </c>
      <c r="B12" s="64" t="inlineStr">
        <is>
          <t>6in Digital Calipers</t>
        </is>
      </c>
      <c r="C12" s="64" t="n"/>
      <c r="D12" s="64" t="inlineStr">
        <is>
          <t>1</t>
        </is>
      </c>
      <c r="E12" s="64" t="inlineStr">
        <is>
          <t>All</t>
        </is>
      </c>
      <c r="F12" s="66">
        <f>HYPERLINK("https://www.aliexpress.com/item/32690065180.html","Aliexpress")</f>
        <v/>
      </c>
      <c r="G12" s="64" t="n"/>
      <c r="H12" s="67">
        <f>HYPERLINK("https://www.harborfreight.com/6-in-digital-caliper-with-sae-and-metric-fractional-readings-63731.html","Harbor Freight")</f>
        <v/>
      </c>
      <c r="I12" s="64" t="n"/>
      <c r="J12" s="65" t="inlineStr">
        <is>
          <t>for measuring shaft length/spacer height/etc, dont have to be particularly accurate, just to 0.1mm (hence the cheapness)</t>
        </is>
      </c>
      <c r="K12" s="68" t="inlineStr">
        <is>
          <t>some links were dead</t>
        </is>
      </c>
    </row>
    <row r="13">
      <c r="A13" s="64" t="inlineStr">
        <is>
          <t>Tools</t>
        </is>
      </c>
      <c r="B13" s="64" t="inlineStr">
        <is>
          <t>Deburring Tool</t>
        </is>
      </c>
      <c r="C13" s="64" t="n"/>
      <c r="D13" s="64" t="inlineStr">
        <is>
          <t>1</t>
        </is>
      </c>
      <c r="E13" s="64" t="inlineStr">
        <is>
          <t>All</t>
        </is>
      </c>
      <c r="F13" s="66">
        <f>HYPERLINK("https://www.amazon.com/dp/B07JGVDRQC","Amazon")</f>
        <v/>
      </c>
      <c r="G13" s="64" t="n"/>
      <c r="H13" s="67">
        <f>HYPERLINK("https://www.aliexpress.com/item/33032626707.html","Aliexpress")</f>
        <v/>
      </c>
      <c r="I13" s="64" t="n"/>
      <c r="J13" s="65" t="inlineStr">
        <is>
          <t>If your MIC6 build plate has sharp edges, this can remove the burr. Also can be used for cleaning up printed parts</t>
        </is>
      </c>
      <c r="K13" s="64" t="n"/>
    </row>
    <row r="14">
      <c r="A14" s="64" t="inlineStr">
        <is>
          <t>Tools</t>
        </is>
      </c>
      <c r="B14" s="64" t="inlineStr">
        <is>
          <t>Center Punch</t>
        </is>
      </c>
      <c r="C14" s="64" t="n"/>
      <c r="D14" s="64" t="inlineStr">
        <is>
          <t>1</t>
        </is>
      </c>
      <c r="E14" s="64" t="inlineStr">
        <is>
          <t>All</t>
        </is>
      </c>
      <c r="F14" s="66">
        <f>HYPERLINK("https://www.amazon.com/dp/B0006J4K88","Amazon")</f>
        <v/>
      </c>
      <c r="G14" s="64" t="n"/>
      <c r="H14" s="64" t="n"/>
      <c r="I14" s="64" t="n"/>
      <c r="J14" s="65" t="inlineStr">
        <is>
          <t>If you are drilling your own bed or drilling your own blind joint access holes, a center punch can help you locate the holes more accurately</t>
        </is>
      </c>
      <c r="K14" s="68" t="inlineStr">
        <is>
          <t>some links were dead</t>
        </is>
      </c>
    </row>
    <row r="15">
      <c r="A15" s="64" t="inlineStr">
        <is>
          <t>Tools</t>
        </is>
      </c>
      <c r="B15" s="64" t="inlineStr">
        <is>
          <t>M5 Tap</t>
        </is>
      </c>
      <c r="C15" s="64" t="n"/>
      <c r="D15" s="64" t="inlineStr">
        <is>
          <t>1</t>
        </is>
      </c>
      <c r="E15" s="64" t="inlineStr">
        <is>
          <t>All</t>
        </is>
      </c>
      <c r="F15" s="66">
        <f>HYPERLINK("https://www.aliexpress.com/item/1000003765116.html","Aliexpress")</f>
        <v/>
      </c>
      <c r="G15" s="64" t="n"/>
      <c r="H15" s="64" t="n"/>
      <c r="I15" s="64" t="n"/>
      <c r="J15" s="65" t="inlineStr">
        <is>
          <t>If you are tapping your own Misumi extrusion, you will need an M5 tap</t>
        </is>
      </c>
      <c r="K15" s="64" t="n"/>
    </row>
    <row r="16">
      <c r="A16" s="64" t="inlineStr">
        <is>
          <t>Tools</t>
        </is>
      </c>
      <c r="B16" s="64" t="inlineStr">
        <is>
          <t>M6 Tap</t>
        </is>
      </c>
      <c r="C16" s="64" t="n"/>
      <c r="D16" s="64" t="inlineStr">
        <is>
          <t>1</t>
        </is>
      </c>
      <c r="E16" s="64" t="inlineStr">
        <is>
          <t>All</t>
        </is>
      </c>
      <c r="F16" s="66">
        <f>HYPERLINK("https://www.aliexpress.com/item/1000003765116.html","Aliexpress")</f>
        <v/>
      </c>
      <c r="G16" s="64" t="n"/>
      <c r="H16" s="64" t="n"/>
      <c r="I16" s="64" t="n"/>
      <c r="J16" s="65" t="inlineStr">
        <is>
          <t>If you are tapping your own "China" extrusion (not V-slot, but the "European" style), you will likely need an M6 tap for the ends. Note you will also need M6x16 BHCS</t>
        </is>
      </c>
      <c r="K16" s="64" t="n"/>
    </row>
    <row r="17">
      <c r="A17" s="64" t="inlineStr">
        <is>
          <t>Tools</t>
        </is>
      </c>
      <c r="B17" s="64" t="inlineStr">
        <is>
          <t>Tap Handle - For Tap</t>
        </is>
      </c>
      <c r="C17" s="64" t="n"/>
      <c r="D17" s="64" t="inlineStr">
        <is>
          <t>1</t>
        </is>
      </c>
      <c r="E17" s="64" t="inlineStr">
        <is>
          <t>All</t>
        </is>
      </c>
      <c r="F17" s="66">
        <f>HYPERLINK("https://www.aliexpress.com/item/32906558793.html","Aliexpress")</f>
        <v/>
      </c>
      <c r="G17" s="64" t="n"/>
      <c r="H17" s="64" t="n"/>
      <c r="I17" s="64" t="n"/>
      <c r="J17" s="65" t="inlineStr">
        <is>
          <t>Here's a handle for your taps!</t>
        </is>
      </c>
      <c r="K17" s="64" t="n"/>
    </row>
    <row r="18">
      <c r="B18" s="53" t="inlineStr">
        <is>
          <t>As an Amazon Associate we earn from qualifying purchases.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0"/>
  <sheetViews>
    <sheetView workbookViewId="0">
      <pane ySplit="1" topLeftCell="A2" activePane="bottomLeft" state="frozen"/>
      <selection pane="bottomLeft" activeCell="A1" sqref="A1"/>
    </sheetView>
  </sheetViews>
  <sheetFormatPr baseColWidth="8" defaultRowHeight="15"/>
  <cols>
    <col width="19.9" customWidth="1" min="1" max="1"/>
    <col width="34.5" customWidth="1" min="2" max="2"/>
    <col width="17.1" customWidth="1" min="3" max="3"/>
    <col width="7" customWidth="1" min="4" max="4"/>
    <col width="8.5" customWidth="1" min="5" max="5"/>
    <col width="20" customWidth="1" min="6" max="6"/>
    <col width="15" customWidth="1" min="7" max="7"/>
    <col width="20" customWidth="1" min="8" max="8"/>
    <col width="15" customWidth="1" min="9" max="9"/>
    <col width="20" customWidth="1" min="10" max="10"/>
    <col width="15" customWidth="1" min="11" max="11"/>
    <col width="20" customWidth="1" min="12" max="12"/>
    <col width="15" customWidth="1" min="13" max="13"/>
    <col width="20" customWidth="1" min="14" max="14"/>
    <col width="20" customWidth="1" min="15" max="15"/>
    <col width="15" customWidth="1" min="16" max="16"/>
    <col width="20" customWidth="1" min="17" max="17"/>
    <col width="20" customWidth="1" min="18" max="18"/>
    <col width="20" customWidth="1" min="19" max="19"/>
    <col width="20" customWidth="1" min="20" max="20"/>
    <col width="20" customWidth="1" min="21" max="21"/>
    <col width="90" customWidth="1" min="22" max="22"/>
    <col width="20" customWidth="1" min="23" max="23"/>
  </cols>
  <sheetData>
    <row r="1">
      <c r="A1" s="3" t="inlineStr">
        <is>
          <t>Category</t>
        </is>
      </c>
      <c r="B1" s="3" t="inlineStr">
        <is>
          <t>Component</t>
        </is>
      </c>
      <c r="C1" s="3" t="inlineStr">
        <is>
          <t>Standard</t>
        </is>
      </c>
      <c r="D1" s="3" t="inlineStr">
        <is>
          <t>Qty</t>
        </is>
      </c>
      <c r="E1" s="3" t="inlineStr">
        <is>
          <t>Size</t>
        </is>
      </c>
      <c r="F1" s="4" t="inlineStr">
        <is>
          <t>Recommended</t>
        </is>
      </c>
      <c r="G1" s="3" t="inlineStr"/>
      <c r="H1" s="4" t="inlineStr">
        <is>
          <t>Alternative Source</t>
        </is>
      </c>
      <c r="I1" s="3" t="inlineStr"/>
      <c r="J1" s="4" t="inlineStr">
        <is>
          <t>Alternative Source 2</t>
        </is>
      </c>
      <c r="K1" s="3" t="inlineStr"/>
      <c r="L1" s="4" t="inlineStr">
        <is>
          <t>Alternative Source 3</t>
        </is>
      </c>
      <c r="M1" s="3" t="inlineStr"/>
      <c r="N1" s="4" t="inlineStr">
        <is>
          <t>Alternative Source 4</t>
        </is>
      </c>
      <c r="O1" s="4" t="inlineStr">
        <is>
          <t>Alternative Source 5</t>
        </is>
      </c>
      <c r="P1" s="3" t="inlineStr"/>
      <c r="Q1" s="4" t="inlineStr">
        <is>
          <t>Alternative Source 6</t>
        </is>
      </c>
      <c r="R1" s="4" t="inlineStr">
        <is>
          <t>Alternative Source 7</t>
        </is>
      </c>
      <c r="S1" s="4" t="inlineStr">
        <is>
          <t>Alternative Source 8</t>
        </is>
      </c>
      <c r="T1" s="4" t="inlineStr">
        <is>
          <t>Alternative Source 9</t>
        </is>
      </c>
      <c r="U1" s="4" t="inlineStr">
        <is>
          <t>Alternative Source 10</t>
        </is>
      </c>
      <c r="V1" s="3" t="inlineStr">
        <is>
          <t>Notes</t>
        </is>
      </c>
      <c r="W1" s="3" t="inlineStr">
        <is>
          <t>Link check</t>
        </is>
      </c>
    </row>
    <row r="2">
      <c r="A2" s="9" t="inlineStr">
        <is>
          <t>Fasteners</t>
        </is>
      </c>
      <c r="B2" s="9" t="inlineStr">
        <is>
          <t>M3 Heat Set Insert (M3x5x4)</t>
        </is>
      </c>
      <c r="C2" s="9" t="n"/>
      <c r="D2" s="9" t="inlineStr">
        <is>
          <t>15</t>
        </is>
      </c>
      <c r="E2" s="9" t="inlineStr">
        <is>
          <t>All</t>
        </is>
      </c>
      <c r="F2" s="10">
        <f>HYPERLINK("https://www.aliexpress.com/item/4000232858343.html","Aliexpress - M3x5x4")</f>
        <v/>
      </c>
      <c r="G2" s="11">
        <f>HYPERLINK("https://s.click.aliexpress.com/e/_dW3Uprs","[Affiliate Link]")</f>
        <v/>
      </c>
      <c r="H2" s="11">
        <f>HYPERLINK("https://s.click.aliexpress.com/e/_ANjqIj","Aliexpress")</f>
        <v/>
      </c>
      <c r="I2" s="9" t="n"/>
      <c r="J2" s="11">
        <f>HYPERLINK("https://www.amazon.com/dp/B077CJV3Z9","Amazon")</f>
        <v/>
      </c>
      <c r="K2" s="9" t="n"/>
      <c r="L2" s="11">
        <f>HYPERLINK("https://s.click.aliexpress.com/e/_dWMOd8C","Aliexpress - M3x5x4")</f>
        <v/>
      </c>
      <c r="M2" s="9" t="n"/>
      <c r="N2" s="11">
        <f>HYPERLINK("https://www.mcmaster.com/94180A331/","McMaster-Carr")</f>
        <v/>
      </c>
      <c r="O2" s="11">
        <f>HYPERLINK("https://s.click.aliexpress.com/e/_dW3Uprs","AliExpress")</f>
        <v/>
      </c>
      <c r="P2" s="9" t="n"/>
      <c r="Q2" s="11">
        <f>HYPERLINK("https://cnckitchenus.store/products/made-for-voron-gewindeeinsatz-threaded-insert-m3x5x4-100-stk-pcs","CNC Kitchen")</f>
        <v/>
      </c>
      <c r="R2" s="9" t="n"/>
      <c r="S2" s="9" t="n"/>
      <c r="T2" s="9" t="n"/>
      <c r="U2" s="9" t="n"/>
      <c r="V2" s="9" t="n"/>
      <c r="W2" s="9" t="n"/>
    </row>
    <row r="3">
      <c r="A3" s="9" t="inlineStr">
        <is>
          <t>Fasteners</t>
        </is>
      </c>
      <c r="B3" s="9" t="inlineStr">
        <is>
          <t>M3x40 SHCS</t>
        </is>
      </c>
      <c r="C3" s="9" t="inlineStr">
        <is>
          <t>ISO 4762 / DIN 912</t>
        </is>
      </c>
      <c r="D3" s="9" t="inlineStr">
        <is>
          <t>2</t>
        </is>
      </c>
      <c r="E3" s="9" t="inlineStr">
        <is>
          <t>All</t>
        </is>
      </c>
      <c r="F3" s="10">
        <f>HYPERLINK("https://www.boltdepot.com/Product-Details.aspx?product=6387","Bolt Depot")</f>
        <v/>
      </c>
      <c r="G3" s="9" t="n"/>
      <c r="H3" s="11">
        <f>HYPERLINK("https://www.mcmaster.com/91290A136/","McMaster-Carr (25 pack)")</f>
        <v/>
      </c>
      <c r="I3" s="9" t="n"/>
      <c r="J3" s="9" t="n"/>
      <c r="K3" s="9" t="n"/>
      <c r="L3" s="9" t="n"/>
      <c r="M3" s="9" t="n"/>
      <c r="N3" s="9" t="n"/>
      <c r="O3" s="9" t="n"/>
      <c r="P3" s="9" t="n"/>
      <c r="Q3" s="9" t="n"/>
      <c r="R3" s="9" t="n"/>
      <c r="S3" s="9" t="n"/>
      <c r="T3" s="9" t="n"/>
      <c r="U3" s="9" t="n"/>
      <c r="V3" s="9" t="n"/>
      <c r="W3" s="9" t="n"/>
    </row>
    <row r="4">
      <c r="A4" s="9" t="inlineStr">
        <is>
          <t>Fasteners</t>
        </is>
      </c>
      <c r="B4" s="9" t="inlineStr">
        <is>
          <t>M3x30 SHCS</t>
        </is>
      </c>
      <c r="C4" s="9" t="inlineStr">
        <is>
          <t>ISO 4762 / DIN 912</t>
        </is>
      </c>
      <c r="D4" s="9" t="inlineStr">
        <is>
          <t>9</t>
        </is>
      </c>
      <c r="E4" s="9" t="inlineStr">
        <is>
          <t>All</t>
        </is>
      </c>
      <c r="F4" s="10">
        <f>HYPERLINK("https://www.boltdepot.com/Product-Details.aspx?product=13641","Bolt Depot")</f>
        <v/>
      </c>
      <c r="G4" s="9" t="n"/>
      <c r="H4" s="11">
        <f>HYPERLINK("https://www.mcmaster.com/91290A171/","McMaster-Carr (10 pack)")</f>
        <v/>
      </c>
      <c r="I4" s="9" t="n"/>
      <c r="J4" s="9" t="n"/>
      <c r="K4" s="9" t="n"/>
      <c r="L4" s="9" t="n"/>
      <c r="M4" s="9" t="n"/>
      <c r="N4" s="9" t="n"/>
      <c r="O4" s="9" t="n"/>
      <c r="P4" s="9" t="n"/>
      <c r="Q4" s="9" t="n"/>
      <c r="R4" s="9" t="n"/>
      <c r="S4" s="9" t="n"/>
      <c r="T4" s="9" t="n"/>
      <c r="U4" s="9" t="n"/>
      <c r="V4" s="9" t="n"/>
      <c r="W4" s="9" t="n"/>
    </row>
    <row r="5">
      <c r="A5" s="9" t="inlineStr">
        <is>
          <t>Fasteners</t>
        </is>
      </c>
      <c r="B5" s="9" t="inlineStr">
        <is>
          <t>M3x20 SHCS</t>
        </is>
      </c>
      <c r="C5" s="9" t="inlineStr">
        <is>
          <t>ISO 4762 / DIN 912</t>
        </is>
      </c>
      <c r="D5" s="9" t="inlineStr">
        <is>
          <t>5</t>
        </is>
      </c>
      <c r="E5" s="9" t="inlineStr">
        <is>
          <t>All</t>
        </is>
      </c>
      <c r="F5" s="10">
        <f>HYPERLINK("https://www.boltdepot.com/Product-Details.aspx?product=13639","Bolt Depot")</f>
        <v/>
      </c>
      <c r="G5" s="9" t="n"/>
      <c r="H5" s="11">
        <f>HYPERLINK("https://www.mcmaster.com/91290A123/","McMaster-Carr (100 pack)")</f>
        <v/>
      </c>
      <c r="I5" s="9" t="n"/>
      <c r="J5" s="9" t="n"/>
      <c r="K5" s="9" t="n"/>
      <c r="L5" s="9" t="n"/>
      <c r="M5" s="9" t="n"/>
      <c r="N5" s="9" t="n"/>
      <c r="O5" s="9" t="n"/>
      <c r="P5" s="9" t="n"/>
      <c r="Q5" s="9" t="n"/>
      <c r="R5" s="9" t="n"/>
      <c r="S5" s="9" t="n"/>
      <c r="T5" s="9" t="n"/>
      <c r="U5" s="9" t="n"/>
      <c r="V5" s="9" t="n"/>
      <c r="W5" s="9" t="n"/>
    </row>
    <row r="6">
      <c r="A6" s="9" t="inlineStr">
        <is>
          <t>Fasteners</t>
        </is>
      </c>
      <c r="B6" s="9" t="inlineStr">
        <is>
          <t>M3x16 SHCS</t>
        </is>
      </c>
      <c r="C6" s="9" t="inlineStr">
        <is>
          <t>ISO 4762 / DIN 912</t>
        </is>
      </c>
      <c r="D6" s="9" t="inlineStr">
        <is>
          <t>4</t>
        </is>
      </c>
      <c r="E6" s="9" t="inlineStr">
        <is>
          <t>All</t>
        </is>
      </c>
      <c r="F6" s="10">
        <f>HYPERLINK("https://www.boltdepot.com/Product-Details.aspx?product=13638","Bolt Depot")</f>
        <v/>
      </c>
      <c r="G6" s="9" t="n"/>
      <c r="H6" s="11">
        <f>HYPERLINK("https://www.mcmaster.com/91290A120/","McMaster-Carr (100 pack)")</f>
        <v/>
      </c>
      <c r="I6" s="9" t="n"/>
      <c r="J6" s="9" t="n"/>
      <c r="K6" s="9" t="n"/>
      <c r="L6" s="9" t="n"/>
      <c r="M6" s="9" t="n"/>
      <c r="N6" s="9" t="n"/>
      <c r="O6" s="9" t="n"/>
      <c r="P6" s="9" t="n"/>
      <c r="Q6" s="9" t="n"/>
      <c r="R6" s="9" t="n"/>
      <c r="S6" s="9" t="n"/>
      <c r="T6" s="9" t="n"/>
      <c r="U6" s="9" t="n"/>
      <c r="V6" s="9" t="n"/>
      <c r="W6" s="9" t="n"/>
    </row>
    <row r="7">
      <c r="A7" s="9" t="inlineStr">
        <is>
          <t>Fasteners</t>
        </is>
      </c>
      <c r="B7" s="9" t="inlineStr">
        <is>
          <t>M3x12 SHCS</t>
        </is>
      </c>
      <c r="C7" s="9" t="inlineStr">
        <is>
          <t>ISO 4762 / DIN 912</t>
        </is>
      </c>
      <c r="D7" s="9" t="inlineStr">
        <is>
          <t>4</t>
        </is>
      </c>
      <c r="E7" s="9" t="inlineStr">
        <is>
          <t>All</t>
        </is>
      </c>
      <c r="F7" s="10">
        <f>HYPERLINK("https://www.boltdepot.com/Product-Details.aspx?product=13637","Bolt Depot")</f>
        <v/>
      </c>
      <c r="G7" s="9" t="n"/>
      <c r="H7" s="11">
        <f>HYPERLINK("https://www.mcmaster.com/91290A117/","McMaster-Carr (100 pack)")</f>
        <v/>
      </c>
      <c r="I7" s="9" t="n"/>
      <c r="J7" s="9" t="n"/>
      <c r="K7" s="9" t="n"/>
      <c r="L7" s="9" t="n"/>
      <c r="M7" s="9" t="n"/>
      <c r="N7" s="9" t="n"/>
      <c r="O7" s="9" t="n"/>
      <c r="P7" s="9" t="n"/>
      <c r="Q7" s="9" t="n"/>
      <c r="R7" s="9" t="n"/>
      <c r="S7" s="9" t="n"/>
      <c r="T7" s="9" t="n"/>
      <c r="U7" s="9" t="n"/>
      <c r="V7" s="9" t="n"/>
      <c r="W7" s="9" t="n"/>
    </row>
    <row r="8">
      <c r="A8" s="9" t="inlineStr">
        <is>
          <t>Fasteners</t>
        </is>
      </c>
      <c r="B8" s="9" t="inlineStr">
        <is>
          <t>M3x8 SHCS</t>
        </is>
      </c>
      <c r="C8" s="9" t="inlineStr">
        <is>
          <t>ISO 4762 / DIN 912</t>
        </is>
      </c>
      <c r="D8" s="9" t="inlineStr">
        <is>
          <t>9</t>
        </is>
      </c>
      <c r="E8" s="9" t="inlineStr">
        <is>
          <t>All</t>
        </is>
      </c>
      <c r="F8" s="10">
        <f>HYPERLINK("https://www.boltdepot.com/Product-Details.aspx?product=13635","Bolt Depot")</f>
        <v/>
      </c>
      <c r="G8" s="9" t="n"/>
      <c r="H8" s="11">
        <f>HYPERLINK("https://www.boltdepot.com/Product-Details.aspx?product=13633","Bolt Depot")</f>
        <v/>
      </c>
      <c r="I8" s="9" t="n"/>
      <c r="J8" s="11">
        <f>HYPERLINK("https://www.mcmaster.com/91290A113/","McMaster-Carr (100 pack)")</f>
        <v/>
      </c>
      <c r="K8" s="9" t="n"/>
      <c r="L8" s="9" t="n"/>
      <c r="M8" s="9" t="n"/>
      <c r="N8" s="9" t="n"/>
      <c r="O8" s="9" t="n"/>
      <c r="P8" s="9" t="n"/>
      <c r="Q8" s="9" t="n"/>
      <c r="R8" s="9" t="n"/>
      <c r="S8" s="9" t="n"/>
      <c r="T8" s="9" t="n"/>
      <c r="U8" s="9" t="n"/>
      <c r="V8" s="9" t="n"/>
      <c r="W8" s="9" t="n"/>
    </row>
    <row r="9">
      <c r="A9" s="9" t="inlineStr">
        <is>
          <t>Fasteners</t>
        </is>
      </c>
      <c r="B9" s="9" t="inlineStr">
        <is>
          <t>M3x6 BHCS</t>
        </is>
      </c>
      <c r="C9" s="9" t="inlineStr">
        <is>
          <t>ISO 7380-1</t>
        </is>
      </c>
      <c r="D9" s="9" t="inlineStr">
        <is>
          <t>1</t>
        </is>
      </c>
      <c r="E9" s="9" t="inlineStr">
        <is>
          <t>All</t>
        </is>
      </c>
      <c r="F9" s="10">
        <f>HYPERLINK("https://www.boltdepot.com/Product-Details.aspx?product=13334","Bolt Depot")</f>
        <v/>
      </c>
      <c r="G9" s="9" t="n"/>
      <c r="H9" s="11">
        <f>HYPERLINK("https://www.boltdepot.com/Metric_socket_button_head_Class_12.9_alloy_steel_black_oxide_finish_3mm_x_0.5mm.aspx","Bolt Depot")</f>
        <v/>
      </c>
      <c r="I9" s="9" t="n"/>
      <c r="J9" s="11">
        <f>HYPERLINK("https://www.mcmaster.com/91239A111/","McMaster-Carr (100 pack)")</f>
        <v/>
      </c>
      <c r="K9" s="9" t="n"/>
      <c r="L9" s="11">
        <f>HYPERLINK("https://s.click.aliexpress.com/e/_d7V4XEq","Aliexpress")</f>
        <v/>
      </c>
      <c r="M9" s="9" t="n"/>
      <c r="N9" s="9" t="n"/>
      <c r="O9" s="9" t="n"/>
      <c r="P9" s="9" t="n"/>
      <c r="Q9" s="9" t="n"/>
      <c r="R9" s="9" t="n"/>
      <c r="S9" s="9" t="n"/>
      <c r="T9" s="9" t="n"/>
      <c r="U9" s="9" t="n"/>
      <c r="V9" s="9" t="n"/>
      <c r="W9" s="9" t="n"/>
    </row>
    <row r="10">
      <c r="A10" s="9" t="inlineStr">
        <is>
          <t>Hardware</t>
        </is>
      </c>
      <c r="B10" s="9" t="inlineStr">
        <is>
          <t>M3 Hexnut</t>
        </is>
      </c>
      <c r="C10" s="9" t="inlineStr">
        <is>
          <t>ISO 4033 / DIN 934</t>
        </is>
      </c>
      <c r="D10" s="9" t="inlineStr">
        <is>
          <t>3</t>
        </is>
      </c>
      <c r="E10" s="9" t="inlineStr">
        <is>
          <t>All</t>
        </is>
      </c>
      <c r="F10" s="10">
        <f>HYPERLINK("https://www.boltdepot.com/Product-Details.aspx?product=4783","Bolt Depot")</f>
        <v/>
      </c>
      <c r="G10" s="9" t="n"/>
      <c r="H10" s="11">
        <f>HYPERLINK("https://www.boltdepot.com/Metric_hex_nuts_Stainless_steel_18-8_(A-2).aspx","Bolt Depot")</f>
        <v/>
      </c>
      <c r="I10" s="9" t="n"/>
      <c r="J10" s="11">
        <f>HYPERLINK("https://www.mcmaster.com/90591A250/","McMaster-Carr (100 pack)")</f>
        <v/>
      </c>
      <c r="K10" s="9" t="n"/>
      <c r="L10" s="11">
        <f>HYPERLINK("https://www.aliexpress.com/item/32977174437.html","Aliexpress")</f>
        <v/>
      </c>
      <c r="M10" s="9" t="n"/>
      <c r="N10" s="9" t="n"/>
      <c r="O10" s="9" t="n"/>
      <c r="P10" s="9" t="n"/>
      <c r="Q10" s="9" t="n"/>
      <c r="R10" s="9" t="n"/>
      <c r="S10" s="9" t="n"/>
      <c r="T10" s="9" t="n"/>
      <c r="U10" s="9" t="n"/>
      <c r="V10" s="9" t="n"/>
      <c r="W10" s="9" t="n"/>
    </row>
    <row r="11">
      <c r="A11" s="24" t="inlineStr">
        <is>
          <t>Electronics</t>
        </is>
      </c>
      <c r="B11" s="24" t="inlineStr">
        <is>
          <t>NEMA17 Motor 17HS08-1004S</t>
        </is>
      </c>
      <c r="C11" s="24" t="n"/>
      <c r="D11" s="24" t="inlineStr">
        <is>
          <t>1</t>
        </is>
      </c>
      <c r="E11" s="24" t="inlineStr">
        <is>
          <t>All</t>
        </is>
      </c>
      <c r="F11" s="25">
        <f>HYPERLINK("https://www.aliexpress.com/item/32585429251.html","Aliexpress")</f>
        <v/>
      </c>
      <c r="G11" s="26">
        <f>HYPERLINK("https://s.click.aliexpress.com/e/_9RQa9O","[Affiliate Link]")</f>
        <v/>
      </c>
      <c r="H11" s="26">
        <f>HYPERLINK("https://www.omc-stepperonline.com/nema-17-stepper-motor/nema-17-bipolar-1-8deg-16ncm-22-6oz-in-1a-3-7v-42x42x20mm-4-wires.html","Stepper Online")</f>
        <v/>
      </c>
      <c r="I11" s="24" t="n"/>
      <c r="J11" s="26">
        <f>HYPERLINK("https://www.omc-stepperonline.com/nema-17-bipolar-1-8deg-16ncm-22-6oz-in-1a-3-7v-42x42x20mm-4-wires.html","Stepper Online")</f>
        <v/>
      </c>
      <c r="K11" s="24" t="n"/>
      <c r="L11" s="26">
        <f>HYPERLINK("https://docs.ldomotors.com/en/voron/LDO_Voron_Distributors","LDO")</f>
        <v/>
      </c>
      <c r="M11" s="24" t="n"/>
      <c r="N11" s="24" t="n"/>
      <c r="O11" s="24" t="n"/>
      <c r="P11" s="24" t="n"/>
      <c r="Q11" s="24" t="n"/>
      <c r="R11" s="24" t="n"/>
      <c r="S11" s="24" t="n"/>
      <c r="T11" s="24" t="n"/>
      <c r="U11" s="24" t="n"/>
      <c r="V11" s="27" t="inlineStr">
        <is>
          <t>Stepper body depth of 20mm</t>
        </is>
      </c>
      <c r="W11" s="24" t="n"/>
    </row>
    <row r="12">
      <c r="A12" s="24" t="inlineStr">
        <is>
          <t>Electronics</t>
        </is>
      </c>
      <c r="B12" s="24" t="inlineStr">
        <is>
          <t>40x40x20 Centrifugal Blower Fan - Ball Bearing (24V)</t>
        </is>
      </c>
      <c r="C12" s="24" t="n"/>
      <c r="D12" s="24" t="inlineStr">
        <is>
          <t>1</t>
        </is>
      </c>
      <c r="E12" s="24" t="inlineStr">
        <is>
          <t>All</t>
        </is>
      </c>
      <c r="F12" s="25">
        <f>HYPERLINK("https://www.aliexpress.com/item/1005001464730686.html","GDSTIME")</f>
        <v/>
      </c>
      <c r="G12" s="26">
        <f>HYPERLINK("https://s.click.aliexpress.com/e/_dZ3Fq0i","[Affiliate Link]")</f>
        <v/>
      </c>
      <c r="H12" s="26">
        <f>HYPERLINK("https://www.aliexpress.com/item/32867138904.html","Aliexpress")</f>
        <v/>
      </c>
      <c r="I12" s="24" t="n"/>
      <c r="J12" s="26">
        <f>HYPERLINK("https://www.amazon.com/dp/B07L2YH79Y","Amazon")</f>
        <v/>
      </c>
      <c r="K12" s="24" t="n"/>
      <c r="L12" s="26">
        <f>HYPERLINK("https://www.amazon.com/dp/B07L2XZKS7","Amazon")</f>
        <v/>
      </c>
      <c r="M12" s="24" t="n"/>
      <c r="N12" s="26">
        <f>HYPERLINK("https://s.click.aliexpress.com/e/_dZ3Fq0i","AliExpress")</f>
        <v/>
      </c>
      <c r="O12" s="24" t="n"/>
      <c r="P12" s="24" t="n"/>
      <c r="Q12" s="24" t="n"/>
      <c r="R12" s="24" t="n"/>
      <c r="S12" s="24" t="n"/>
      <c r="T12" s="24" t="n"/>
      <c r="U12" s="24" t="n"/>
      <c r="V12" s="24" t="n"/>
      <c r="W12" s="24" t="n"/>
    </row>
    <row r="13">
      <c r="A13" s="24" t="inlineStr">
        <is>
          <t>Electronics</t>
        </is>
      </c>
      <c r="B13" s="24" t="inlineStr">
        <is>
          <t>40x40x10 Axial Fan - Ball Bearing (24V)</t>
        </is>
      </c>
      <c r="C13" s="24" t="n"/>
      <c r="D13" s="24" t="inlineStr">
        <is>
          <t>1</t>
        </is>
      </c>
      <c r="E13" s="24" t="inlineStr">
        <is>
          <t>All</t>
        </is>
      </c>
      <c r="F13" s="25">
        <f>HYPERLINK("https://www.aliexpress.com/item/32868163248.html","Aliexpress")</f>
        <v/>
      </c>
      <c r="G13" s="26">
        <f>HYPERLINK("https://s.click.aliexpress.com/e/_AUbIY8","[Affiliate Link]")</f>
        <v/>
      </c>
      <c r="H13" s="26">
        <f>HYPERLINK("https://www.aliexpress.com/item/32726640438.html","GDSTIME")</f>
        <v/>
      </c>
      <c r="I13" s="26">
        <f>HYPERLINK("https://s.click.aliexpress.com/e/_d8MBoAW","[Affiliate Link]")</f>
        <v/>
      </c>
      <c r="J13" s="26">
        <f>HYPERLINK("https://www.aliexpress.com/item/32727867521.html","GDSTIME (Aliexpress)")</f>
        <v/>
      </c>
      <c r="K13" s="26">
        <f>HYPERLINK("https://s.click.aliexpress.com/e/_d8MBoAW","[Affiliate Link]")</f>
        <v/>
      </c>
      <c r="L13" s="26">
        <f>HYPERLINK("https://www.amazon.com/dp/B07DB5H6K1","Amazon")</f>
        <v/>
      </c>
      <c r="M13" s="24" t="n"/>
      <c r="N13" s="26">
        <f>HYPERLINK("https://s.click.aliexpress.com/e/_d8MBoAW","AliExpress")</f>
        <v/>
      </c>
      <c r="O13" s="24" t="n"/>
      <c r="P13" s="24" t="n"/>
      <c r="Q13" s="24" t="n"/>
      <c r="R13" s="24" t="n"/>
      <c r="S13" s="24" t="n"/>
      <c r="T13" s="24" t="n"/>
      <c r="U13" s="24" t="n"/>
      <c r="V13" s="24" t="n"/>
      <c r="W13" s="28" t="inlineStr">
        <is>
          <t>some links were dead</t>
        </is>
      </c>
    </row>
    <row r="14">
      <c r="A14" s="9" t="inlineStr">
        <is>
          <t>Hotend</t>
        </is>
      </c>
      <c r="B14" s="9" t="inlineStr">
        <is>
          <t>E3D V6 Hotend Bowden</t>
        </is>
      </c>
      <c r="C14" s="9" t="n"/>
      <c r="D14" s="9" t="n"/>
      <c r="E14" s="9" t="n"/>
      <c r="F14" s="9" t="n"/>
      <c r="G14" s="9" t="n"/>
      <c r="H14" s="9" t="n"/>
      <c r="I14" s="9" t="n"/>
      <c r="J14" s="9" t="n"/>
      <c r="K14" s="9" t="n"/>
      <c r="L14" s="9" t="n"/>
      <c r="M14" s="9" t="n"/>
      <c r="N14" s="9" t="n"/>
      <c r="O14" s="9" t="n"/>
      <c r="P14" s="9" t="n"/>
      <c r="Q14" s="9" t="n"/>
      <c r="R14" s="9" t="n"/>
      <c r="S14" s="9" t="n"/>
      <c r="T14" s="9" t="n"/>
      <c r="U14" s="9" t="n"/>
      <c r="V14" s="13" t="inlineStr">
        <is>
          <t>for whichever hotend you pick make sure you have a nozzle a heater cartridge and a thermistor, some come with them some are sold seperatly</t>
        </is>
      </c>
      <c r="W14" s="9" t="n"/>
    </row>
    <row r="15">
      <c r="A15" s="9" t="inlineStr">
        <is>
          <t>Hotend</t>
        </is>
      </c>
      <c r="B15" s="9" t="inlineStr">
        <is>
          <t>TriangleLab Dragon Hotend</t>
        </is>
      </c>
      <c r="C15" s="9" t="n"/>
      <c r="D15" s="9" t="n"/>
      <c r="E15" s="9" t="n"/>
      <c r="F15" s="9" t="n"/>
      <c r="G15" s="9" t="n"/>
      <c r="H15" s="9" t="n"/>
      <c r="I15" s="9" t="n"/>
      <c r="J15" s="9" t="n"/>
      <c r="K15" s="9" t="n"/>
      <c r="L15" s="9" t="n"/>
      <c r="M15" s="9" t="n"/>
      <c r="N15" s="9" t="n"/>
      <c r="O15" s="9" t="n"/>
      <c r="P15" s="9" t="n"/>
      <c r="Q15" s="9" t="n"/>
      <c r="R15" s="9" t="n"/>
      <c r="S15" s="9" t="n"/>
      <c r="T15" s="9" t="n"/>
      <c r="U15" s="9" t="n"/>
      <c r="V15" s="9" t="n"/>
      <c r="W15" s="9" t="n"/>
    </row>
    <row r="16">
      <c r="A16" s="19" t="inlineStr">
        <is>
          <t>Extruder</t>
        </is>
      </c>
      <c r="B16" s="19" t="inlineStr">
        <is>
          <t>Complete BMG Extruder Clone</t>
        </is>
      </c>
      <c r="C16" s="19" t="n"/>
      <c r="D16" s="19" t="inlineStr">
        <is>
          <t>1</t>
        </is>
      </c>
      <c r="E16" s="19" t="inlineStr">
        <is>
          <t>All</t>
        </is>
      </c>
      <c r="F16" s="20">
        <f>HYPERLINK("https://www.bondtech.se/en/product/drivegear-kits","Bondtech")</f>
        <v/>
      </c>
      <c r="G16" s="19" t="n"/>
      <c r="H16" s="21">
        <f>HYPERLINK("https://www.filastruder.com/collections/bondtech/products/drivegear-kit","Filastruder")</f>
        <v/>
      </c>
      <c r="I16" s="19" t="n"/>
      <c r="J16" s="21">
        <f>HYPERLINK("https://s.click.aliexpress.com/e/_dY14nbA","Aliexpress (TL)")</f>
        <v/>
      </c>
      <c r="K16" s="19" t="n"/>
      <c r="L16" s="21">
        <f>HYPERLINK("https://www.aliexpress.com/item/32907327548.html","TriangleLab")</f>
        <v/>
      </c>
      <c r="M16" s="21">
        <f>HYPERLINK("https://s.click.aliexpress.com/e/5dL9AJgU","[Affiliate Link]")</f>
        <v/>
      </c>
      <c r="N16" s="21">
        <f>HYPERLINK("https://s.click.aliexpress.com/e/_AU7ik2","Aliexpress (TL)")</f>
        <v/>
      </c>
      <c r="O16" s="21">
        <f>HYPERLINK("https://www.aliexpress.com/item/4000021186440.html","Aliexpress (TL)")</f>
        <v/>
      </c>
      <c r="P16" s="21">
        <f>HYPERLINK("https://s.click.aliexpress.com/e/_Alji4k","[Affiliate Link]")</f>
        <v/>
      </c>
      <c r="Q16" s="21">
        <f>HYPERLINK("https://www.aliexpress.com/item/2255799834871688.html","Aliexpress (TriangleLabs)")</f>
        <v/>
      </c>
      <c r="R16" s="21">
        <f>HYPERLINK("https://s.click.aliexpress.com/e/_dS7fWDW","TriangleLabs")</f>
        <v/>
      </c>
      <c r="S16" s="21">
        <f>HYPERLINK("https://www.aliexpress.com/item/32947193804.html","TriangleLabs")</f>
        <v/>
      </c>
      <c r="T16" s="21">
        <f>HYPERLINK("https://www.filastruder.com/products/bondtech-bmg-internals-set?_pos=1&amp;_sid=8f05bd81a&amp;_ss=r","Filastruder")</f>
        <v/>
      </c>
      <c r="U16" s="21">
        <f>HYPERLINK("https://www.printedsolid.com/products/bondtech-bmg-extruder","Printed Solid")</f>
        <v/>
      </c>
      <c r="V16" s="19" t="n"/>
      <c r="W16" s="23" t="inlineStr">
        <is>
          <t>some links were dead</t>
        </is>
      </c>
    </row>
    <row r="17">
      <c r="A17" s="9" t="inlineStr">
        <is>
          <t>Hardware</t>
        </is>
      </c>
      <c r="B17" s="9" t="inlineStr">
        <is>
          <t>Thumb Screw Assembly</t>
        </is>
      </c>
      <c r="C17" s="9" t="n"/>
      <c r="D17" s="9" t="inlineStr">
        <is>
          <t>1</t>
        </is>
      </c>
      <c r="E17" s="9" t="inlineStr">
        <is>
          <t>All</t>
        </is>
      </c>
      <c r="F17" s="10">
        <f>HYPERLINK("https://www.bondtech.se/en/product/thumbscrew-assembly","Bondtech")</f>
        <v/>
      </c>
      <c r="G17" s="9" t="n"/>
      <c r="H17" s="11">
        <f>HYPERLINK("https://www.filastruder.com/collections/bondtech/products/bondtech-thumbscrew-assembly","Filastruder")</f>
        <v/>
      </c>
      <c r="I17" s="9" t="n"/>
      <c r="J17" s="11">
        <f>HYPERLINK("https://s.click.aliexpress.com/e/_dUxr46o","TriangleLabs")</f>
        <v/>
      </c>
      <c r="K17" s="9" t="n"/>
      <c r="L17" s="11">
        <f>HYPERLINK("https://www.aliexpress.com/item/32947691813.html","TriangleLabs")</f>
        <v/>
      </c>
      <c r="M17" s="9" t="n"/>
      <c r="N17" s="9" t="n"/>
      <c r="O17" s="9" t="n"/>
      <c r="P17" s="9" t="n"/>
      <c r="Q17" s="9" t="n"/>
      <c r="R17" s="9" t="n"/>
      <c r="S17" s="9" t="n"/>
      <c r="T17" s="9" t="n"/>
      <c r="U17" s="9" t="n"/>
      <c r="V17" s="9" t="n"/>
      <c r="W17" s="9" t="n"/>
    </row>
    <row r="18">
      <c r="A18" s="19" t="inlineStr">
        <is>
          <t>Extruder</t>
        </is>
      </c>
      <c r="B18" s="19" t="inlineStr">
        <is>
          <t>Shaft/Idler Assembly</t>
        </is>
      </c>
      <c r="C18" s="19" t="n"/>
      <c r="D18" s="19" t="inlineStr">
        <is>
          <t>1</t>
        </is>
      </c>
      <c r="E18" s="19" t="inlineStr">
        <is>
          <t>All</t>
        </is>
      </c>
      <c r="F18" s="20">
        <f>HYPERLINK("https://www.bondtech.se/en/product/shaft-assembly","Bondtech")</f>
        <v/>
      </c>
      <c r="G18" s="19" t="n"/>
      <c r="H18" s="21">
        <f>HYPERLINK("https://www.filastruder.com/collections/bondtech/products/bondtech-shaft-gear-assembly","Filastruder")</f>
        <v/>
      </c>
      <c r="I18" s="19" t="n"/>
      <c r="J18" s="21">
        <f>HYPERLINK("https://s.click.aliexpress.com/e/_dXUX0B6","TriangleLabs")</f>
        <v/>
      </c>
      <c r="K18" s="19" t="n"/>
      <c r="L18" s="21">
        <f>HYPERLINK("https://www.aliexpress.com/item/32946823004.html","TriangleLabs")</f>
        <v/>
      </c>
      <c r="M18" s="19" t="n"/>
      <c r="N18" s="19" t="n"/>
      <c r="O18" s="19" t="n"/>
      <c r="P18" s="19" t="n"/>
      <c r="Q18" s="19" t="n"/>
      <c r="R18" s="19" t="n"/>
      <c r="S18" s="19" t="n"/>
      <c r="T18" s="19" t="n"/>
      <c r="U18" s="19" t="n"/>
      <c r="V18" s="19" t="n"/>
      <c r="W18" s="19" t="n"/>
    </row>
    <row r="19">
      <c r="A19" s="19" t="inlineStr">
        <is>
          <t>Extruder</t>
        </is>
      </c>
      <c r="B19" s="19" t="inlineStr">
        <is>
          <t>Bondtech Motor Gear (bowden only)</t>
        </is>
      </c>
      <c r="C19" s="19" t="n"/>
      <c r="D19" s="19" t="inlineStr">
        <is>
          <t>1</t>
        </is>
      </c>
      <c r="E19" s="19" t="inlineStr">
        <is>
          <t>All</t>
        </is>
      </c>
      <c r="F19" s="20">
        <f>HYPERLINK("https://www.bondtech.se/en/product/motor-gear","Bondtech")</f>
        <v/>
      </c>
      <c r="G19" s="19" t="n"/>
      <c r="H19" s="21">
        <f>HYPERLINK("https://www.filastruder.com/collections/bondtech/products/bondtech-motor-gear","Filastruder")</f>
        <v/>
      </c>
      <c r="I19" s="19" t="n"/>
      <c r="J19" s="21">
        <f>HYPERLINK("https://s.click.aliexpress.com/e/_d7eKr16","TriangleLabs")</f>
        <v/>
      </c>
      <c r="K19" s="19" t="n"/>
      <c r="L19" s="21">
        <f>HYPERLINK("https://www.aliexpress.com/item/32946695708.html","TriangleLabs")</f>
        <v/>
      </c>
      <c r="M19" s="19" t="n"/>
      <c r="N19" s="19" t="n"/>
      <c r="O19" s="19" t="n"/>
      <c r="P19" s="19" t="n"/>
      <c r="Q19" s="19" t="n"/>
      <c r="R19" s="19" t="n"/>
      <c r="S19" s="19" t="n"/>
      <c r="T19" s="19" t="n"/>
      <c r="U19" s="19" t="n"/>
      <c r="V19" s="19" t="n"/>
      <c r="W19" s="19" t="n"/>
    </row>
    <row r="20">
      <c r="A20" s="19" t="inlineStr">
        <is>
          <t>Extruder</t>
        </is>
      </c>
      <c r="B20" s="19" t="inlineStr">
        <is>
          <t>MR85 Bearing</t>
        </is>
      </c>
      <c r="C20" s="19" t="n"/>
      <c r="D20" s="19" t="inlineStr">
        <is>
          <t>2</t>
        </is>
      </c>
      <c r="E20" s="19" t="inlineStr">
        <is>
          <t>All</t>
        </is>
      </c>
      <c r="F20" s="20">
        <f>HYPERLINK("https://www.bondtech.se/en/product/ballbearing-5x8x2-5","Bondtech")</f>
        <v/>
      </c>
      <c r="G20" s="19" t="n"/>
      <c r="H20" s="21">
        <f>HYPERLINK("https://s.click.aliexpress.com/e/_dZPCzjq","TriangleLabs")</f>
        <v/>
      </c>
      <c r="I20" s="19" t="n"/>
      <c r="J20" s="19" t="n"/>
      <c r="K20" s="19" t="n"/>
      <c r="L20" s="19" t="n"/>
      <c r="M20" s="19" t="n"/>
      <c r="N20" s="19" t="n"/>
      <c r="O20" s="19" t="n"/>
      <c r="P20" s="19" t="n"/>
      <c r="Q20" s="19" t="n"/>
      <c r="R20" s="19" t="n"/>
      <c r="S20" s="19" t="n"/>
      <c r="T20" s="19" t="n"/>
      <c r="U20" s="19" t="n"/>
      <c r="V20" s="19" t="n"/>
      <c r="W20" s="19"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20"/>
  <sheetViews>
    <sheetView workbookViewId="0">
      <pane ySplit="1" topLeftCell="A2" activePane="bottomLeft" state="frozen"/>
      <selection pane="bottomLeft" activeCell="A1" sqref="A1"/>
    </sheetView>
  </sheetViews>
  <sheetFormatPr baseColWidth="8" defaultRowHeight="15"/>
  <cols>
    <col width="19.9" customWidth="1" min="1" max="1"/>
    <col width="34.5" customWidth="1" min="2" max="2"/>
    <col width="17.1" customWidth="1" min="3" max="3"/>
    <col width="7" customWidth="1" min="4" max="4"/>
    <col width="8.5" customWidth="1" min="5" max="5"/>
    <col width="20" customWidth="1" min="6" max="6"/>
    <col width="15" customWidth="1" min="7" max="7"/>
    <col width="20" customWidth="1" min="8" max="8"/>
    <col width="15" customWidth="1" min="9" max="9"/>
    <col width="20" customWidth="1" min="10" max="10"/>
    <col width="20" customWidth="1" min="11" max="11"/>
    <col width="15" customWidth="1" min="12" max="12"/>
    <col width="20" customWidth="1" min="13" max="13"/>
    <col width="20" customWidth="1" min="14" max="14"/>
    <col width="15" customWidth="1" min="15" max="15"/>
    <col width="20" customWidth="1" min="16" max="16"/>
    <col width="20" customWidth="1" min="17" max="17"/>
    <col width="20" customWidth="1" min="18" max="18"/>
    <col width="20" customWidth="1" min="19" max="19"/>
    <col width="20" customWidth="1" min="20" max="20"/>
    <col width="90" customWidth="1" min="21" max="21"/>
    <col width="20" customWidth="1" min="22" max="22"/>
  </cols>
  <sheetData>
    <row r="1">
      <c r="A1" s="3" t="inlineStr">
        <is>
          <t>Category</t>
        </is>
      </c>
      <c r="B1" s="3" t="inlineStr">
        <is>
          <t>Component</t>
        </is>
      </c>
      <c r="C1" s="3" t="inlineStr">
        <is>
          <t>Standard</t>
        </is>
      </c>
      <c r="D1" s="3" t="inlineStr">
        <is>
          <t>Qty</t>
        </is>
      </c>
      <c r="E1" s="3" t="inlineStr">
        <is>
          <t>Size</t>
        </is>
      </c>
      <c r="F1" s="4" t="inlineStr">
        <is>
          <t>Recommended</t>
        </is>
      </c>
      <c r="G1" s="3" t="inlineStr"/>
      <c r="H1" s="4" t="inlineStr">
        <is>
          <t>Alternative Source</t>
        </is>
      </c>
      <c r="I1" s="3" t="inlineStr"/>
      <c r="J1" s="4" t="inlineStr">
        <is>
          <t>Alternative Source 2</t>
        </is>
      </c>
      <c r="K1" s="4" t="inlineStr">
        <is>
          <t>Alternative Source 3</t>
        </is>
      </c>
      <c r="L1" s="3" t="inlineStr"/>
      <c r="M1" s="4" t="inlineStr">
        <is>
          <t>Alternative Source 4</t>
        </is>
      </c>
      <c r="N1" s="4" t="inlineStr">
        <is>
          <t>Alternative Source 5</t>
        </is>
      </c>
      <c r="O1" s="3" t="inlineStr"/>
      <c r="P1" s="4" t="inlineStr">
        <is>
          <t>Alternative Source 6</t>
        </is>
      </c>
      <c r="Q1" s="4" t="inlineStr">
        <is>
          <t>Alternative Source 7</t>
        </is>
      </c>
      <c r="R1" s="4" t="inlineStr">
        <is>
          <t>Alternative Source 8</t>
        </is>
      </c>
      <c r="S1" s="4" t="inlineStr">
        <is>
          <t>Alternative Source 9</t>
        </is>
      </c>
      <c r="T1" s="4" t="inlineStr">
        <is>
          <t>Alternative Source 10</t>
        </is>
      </c>
      <c r="U1" s="3" t="inlineStr">
        <is>
          <t>Notes</t>
        </is>
      </c>
      <c r="V1" s="3" t="inlineStr">
        <is>
          <t>Link check</t>
        </is>
      </c>
    </row>
    <row r="2">
      <c r="A2" s="5" t="inlineStr">
        <is>
          <t>Filament</t>
        </is>
      </c>
      <c r="B2" s="5" t="inlineStr">
        <is>
          <t>Primary Color (Black)</t>
        </is>
      </c>
      <c r="C2" s="5" t="n"/>
      <c r="D2" s="5" t="inlineStr">
        <is>
          <t>1</t>
        </is>
      </c>
      <c r="E2" s="5" t="inlineStr">
        <is>
          <t>All</t>
        </is>
      </c>
      <c r="F2" s="6">
        <f>HYPERLINK("https://www.paramount-3d.com/product-page/absblack","Paramount ABS")</f>
        <v/>
      </c>
      <c r="G2" s="7">
        <f>HYPERLINK("https://amzn.to/2nb63qR","[Affiliate Link]")</f>
        <v/>
      </c>
      <c r="H2" s="5" t="n"/>
      <c r="I2" s="5" t="n"/>
      <c r="J2" s="5" t="n"/>
      <c r="K2" s="5" t="n"/>
      <c r="L2" s="5" t="n"/>
      <c r="M2" s="5" t="n"/>
      <c r="N2" s="5" t="n"/>
      <c r="O2" s="5" t="n"/>
      <c r="P2" s="5" t="n"/>
      <c r="Q2" s="5" t="n"/>
      <c r="R2" s="5" t="n"/>
      <c r="S2" s="5" t="n"/>
      <c r="T2" s="5" t="n"/>
      <c r="U2" s="8" t="inlineStr">
        <is>
          <t>MakeShaper ABS</t>
        </is>
      </c>
      <c r="V2" s="29" t="inlineStr">
        <is>
          <t>some links were dead</t>
        </is>
      </c>
    </row>
    <row r="3">
      <c r="A3" s="5" t="inlineStr">
        <is>
          <t>Filament</t>
        </is>
      </c>
      <c r="B3" s="5" t="inlineStr">
        <is>
          <t>Secondary Color (Red)</t>
        </is>
      </c>
      <c r="C3" s="5" t="n"/>
      <c r="D3" s="5" t="inlineStr">
        <is>
          <t>1</t>
        </is>
      </c>
      <c r="E3" s="5" t="inlineStr">
        <is>
          <t>All</t>
        </is>
      </c>
      <c r="F3" s="6">
        <f>HYPERLINK("https://www.paramount-3d.com/product-page/abs-pantone-enzo-red-485c-1-75mm-1kg-filament-trrl3020485c","Paramount ABS")</f>
        <v/>
      </c>
      <c r="G3" s="7">
        <f>HYPERLINK("https://amzn.to/2lqEYQ1","[Affiliate Link]")</f>
        <v/>
      </c>
      <c r="H3" s="7">
        <f>HYPERLINK("https://www.amazon.com/dp/B00J0HB1YI","Hatchbox ABS")</f>
        <v/>
      </c>
      <c r="I3" s="7">
        <f>HYPERLINK("https://amzn.to/2ltf8Lj","[Affiliate Link]")</f>
        <v/>
      </c>
      <c r="J3" s="5" t="n"/>
      <c r="K3" s="5" t="n"/>
      <c r="L3" s="5" t="n"/>
      <c r="M3" s="5" t="n"/>
      <c r="N3" s="5" t="n"/>
      <c r="O3" s="5" t="n"/>
      <c r="P3" s="5" t="n"/>
      <c r="Q3" s="5" t="n"/>
      <c r="R3" s="5" t="n"/>
      <c r="S3" s="5" t="n"/>
      <c r="T3" s="5" t="n"/>
      <c r="U3" s="8" t="inlineStr">
        <is>
          <t>MakeShaper ABS</t>
        </is>
      </c>
      <c r="V3" s="29" t="inlineStr">
        <is>
          <t>some links were dead</t>
        </is>
      </c>
    </row>
    <row r="4">
      <c r="A4" s="5" t="inlineStr">
        <is>
          <t>Printed Parts</t>
        </is>
      </c>
      <c r="B4" s="5" t="inlineStr">
        <is>
          <t>Printed Parts</t>
        </is>
      </c>
      <c r="C4" s="5" t="n"/>
      <c r="D4" s="5" t="inlineStr">
        <is>
          <t>1</t>
        </is>
      </c>
      <c r="E4" s="5" t="inlineStr">
        <is>
          <t>All</t>
        </is>
      </c>
      <c r="F4" s="6">
        <f>HYPERLINK("https://pif.voron.dev/","Print It Forward")</f>
        <v/>
      </c>
      <c r="G4" s="5" t="n"/>
      <c r="H4" s="5" t="inlineStr">
        <is>
          <t>Print Yourself</t>
        </is>
      </c>
      <c r="I4" s="5" t="n"/>
      <c r="J4" s="5" t="n"/>
      <c r="K4" s="5" t="n"/>
      <c r="L4" s="5" t="n"/>
      <c r="M4" s="5" t="n"/>
      <c r="N4" s="5" t="n"/>
      <c r="O4" s="5" t="n"/>
      <c r="P4" s="5" t="n"/>
      <c r="Q4" s="5" t="n"/>
      <c r="R4" s="5" t="n"/>
      <c r="S4" s="5" t="n"/>
      <c r="T4" s="5" t="n"/>
      <c r="U4" s="5" t="n"/>
      <c r="V4" s="5" t="n"/>
    </row>
    <row r="5">
      <c r="A5" s="9" t="inlineStr">
        <is>
          <t>Fasteners</t>
        </is>
      </c>
      <c r="B5" s="9" t="inlineStr">
        <is>
          <t>M3x30 SHCS</t>
        </is>
      </c>
      <c r="C5" s="9" t="inlineStr">
        <is>
          <t>ISO 4762 / DIN 912</t>
        </is>
      </c>
      <c r="D5" s="9" t="inlineStr">
        <is>
          <t>4</t>
        </is>
      </c>
      <c r="E5" s="9" t="inlineStr">
        <is>
          <t>All</t>
        </is>
      </c>
      <c r="F5" s="10">
        <f>HYPERLINK("https://www.boltdepot.com/Product-Details.aspx?product=13641","Bolt Depot")</f>
        <v/>
      </c>
      <c r="G5" s="9" t="n"/>
      <c r="H5" s="11">
        <f>HYPERLINK("https://www.mcmaster.com/91290A171/","McMaster-Carr (10 pack)")</f>
        <v/>
      </c>
      <c r="I5" s="9" t="n"/>
      <c r="J5" s="9" t="n"/>
      <c r="K5" s="9" t="n"/>
      <c r="L5" s="9" t="n"/>
      <c r="M5" s="9" t="n"/>
      <c r="N5" s="9" t="n"/>
      <c r="O5" s="9" t="n"/>
      <c r="P5" s="9" t="n"/>
      <c r="Q5" s="9" t="n"/>
      <c r="R5" s="9" t="n"/>
      <c r="S5" s="9" t="n"/>
      <c r="T5" s="9" t="n"/>
      <c r="U5" s="9" t="n"/>
      <c r="V5" s="9" t="n"/>
    </row>
    <row r="6">
      <c r="A6" s="9" t="inlineStr">
        <is>
          <t>Fasteners</t>
        </is>
      </c>
      <c r="B6" s="9" t="inlineStr">
        <is>
          <t>M3x16 SHCS</t>
        </is>
      </c>
      <c r="C6" s="9" t="inlineStr">
        <is>
          <t>ISO 4762 / DIN 912</t>
        </is>
      </c>
      <c r="D6" s="9" t="inlineStr">
        <is>
          <t>2</t>
        </is>
      </c>
      <c r="E6" s="9" t="inlineStr">
        <is>
          <t>All</t>
        </is>
      </c>
      <c r="F6" s="10">
        <f>HYPERLINK("https://www.boltdepot.com/Product-Details.aspx?product=13638","Bolt Depot")</f>
        <v/>
      </c>
      <c r="G6" s="9" t="n"/>
      <c r="H6" s="11">
        <f>HYPERLINK("https://www.mcmaster.com/91290A120/","McMaster-Carr (100 pack)")</f>
        <v/>
      </c>
      <c r="I6" s="9" t="n"/>
      <c r="J6" s="9" t="n"/>
      <c r="K6" s="9" t="n"/>
      <c r="L6" s="9" t="n"/>
      <c r="M6" s="9" t="n"/>
      <c r="N6" s="9" t="n"/>
      <c r="O6" s="9" t="n"/>
      <c r="P6" s="9" t="n"/>
      <c r="Q6" s="9" t="n"/>
      <c r="R6" s="9" t="n"/>
      <c r="S6" s="9" t="n"/>
      <c r="T6" s="9" t="n"/>
      <c r="U6" s="9" t="n"/>
      <c r="V6" s="9" t="n"/>
    </row>
    <row r="7">
      <c r="A7" s="9" t="inlineStr">
        <is>
          <t>Fasteners</t>
        </is>
      </c>
      <c r="B7" s="9" t="inlineStr">
        <is>
          <t>M3x12 SHCS</t>
        </is>
      </c>
      <c r="C7" s="9" t="inlineStr">
        <is>
          <t>ISO 4762 / DIN 912</t>
        </is>
      </c>
      <c r="D7" s="9" t="inlineStr">
        <is>
          <t>1</t>
        </is>
      </c>
      <c r="E7" s="9" t="inlineStr">
        <is>
          <t>All</t>
        </is>
      </c>
      <c r="F7" s="10">
        <f>HYPERLINK("https://www.boltdepot.com/Product-Details.aspx?product=13637","Bolt Depot")</f>
        <v/>
      </c>
      <c r="G7" s="9" t="n"/>
      <c r="H7" s="11">
        <f>HYPERLINK("https://www.mcmaster.com/91290A117/","McMaster-Carr (100 pack)")</f>
        <v/>
      </c>
      <c r="I7" s="9" t="n"/>
      <c r="J7" s="9" t="n"/>
      <c r="K7" s="9" t="n"/>
      <c r="L7" s="9" t="n"/>
      <c r="M7" s="9" t="n"/>
      <c r="N7" s="9" t="n"/>
      <c r="O7" s="9" t="n"/>
      <c r="P7" s="9" t="n"/>
      <c r="Q7" s="9" t="n"/>
      <c r="R7" s="9" t="n"/>
      <c r="S7" s="9" t="n"/>
      <c r="T7" s="9" t="n"/>
      <c r="U7" s="9" t="n"/>
      <c r="V7" s="9" t="n"/>
    </row>
    <row r="8">
      <c r="A8" s="9" t="inlineStr">
        <is>
          <t>Fasteners</t>
        </is>
      </c>
      <c r="B8" s="9" t="inlineStr">
        <is>
          <t>M3x6 BHCS</t>
        </is>
      </c>
      <c r="C8" s="9" t="inlineStr">
        <is>
          <t>ISO 7380-1</t>
        </is>
      </c>
      <c r="D8" s="9" t="inlineStr">
        <is>
          <t>5</t>
        </is>
      </c>
      <c r="E8" s="9" t="inlineStr">
        <is>
          <t>All</t>
        </is>
      </c>
      <c r="F8" s="10">
        <f>HYPERLINK("https://www.boltdepot.com/Product-Details.aspx?product=13334","Bolt Depot")</f>
        <v/>
      </c>
      <c r="G8" s="9" t="n"/>
      <c r="H8" s="11">
        <f>HYPERLINK("https://www.boltdepot.com/Metric_socket_button_head_Class_12.9_alloy_steel_black_oxide_finish_3mm_x_0.5mm.aspx","Bolt Depot")</f>
        <v/>
      </c>
      <c r="I8" s="9" t="n"/>
      <c r="J8" s="11">
        <f>HYPERLINK("https://www.mcmaster.com/91239A111/","McMaster-Carr (100 pack)")</f>
        <v/>
      </c>
      <c r="K8" s="11">
        <f>HYPERLINK("https://s.click.aliexpress.com/e/_d7V4XEq","Aliexpress")</f>
        <v/>
      </c>
      <c r="L8" s="9" t="n"/>
      <c r="M8" s="9" t="n"/>
      <c r="N8" s="9" t="n"/>
      <c r="O8" s="9" t="n"/>
      <c r="P8" s="9" t="n"/>
      <c r="Q8" s="9" t="n"/>
      <c r="R8" s="9" t="n"/>
      <c r="S8" s="9" t="n"/>
      <c r="T8" s="9" t="n"/>
      <c r="U8" s="9" t="n"/>
      <c r="V8" s="9" t="n"/>
    </row>
    <row r="9">
      <c r="A9" s="9" t="inlineStr">
        <is>
          <t>Fasteners</t>
        </is>
      </c>
      <c r="B9" s="9" t="inlineStr">
        <is>
          <t>M3 Heat Set Insert (M3x5x4)</t>
        </is>
      </c>
      <c r="C9" s="9" t="n"/>
      <c r="D9" s="9" t="inlineStr">
        <is>
          <t>5</t>
        </is>
      </c>
      <c r="E9" s="9" t="inlineStr">
        <is>
          <t>All</t>
        </is>
      </c>
      <c r="F9" s="10">
        <f>HYPERLINK("https://www.aliexpress.com/item/4000232858343.html","Aliexpress - M3x5x4")</f>
        <v/>
      </c>
      <c r="G9" s="11">
        <f>HYPERLINK("https://s.click.aliexpress.com/e/_dW3Uprs","[Affiliate Link]")</f>
        <v/>
      </c>
      <c r="H9" s="11">
        <f>HYPERLINK("https://s.click.aliexpress.com/e/_ANjqIj","Aliexpress")</f>
        <v/>
      </c>
      <c r="I9" s="9" t="n"/>
      <c r="J9" s="11">
        <f>HYPERLINK("https://www.amazon.com/dp/B077CJV3Z9","Amazon")</f>
        <v/>
      </c>
      <c r="K9" s="11">
        <f>HYPERLINK("https://s.click.aliexpress.com/e/_dWMOd8C","Aliexpress - M3x5x4")</f>
        <v/>
      </c>
      <c r="L9" s="9" t="n"/>
      <c r="M9" s="11">
        <f>HYPERLINK("https://www.mcmaster.com/94180A331/","McMaster-Carr")</f>
        <v/>
      </c>
      <c r="N9" s="11">
        <f>HYPERLINK("https://s.click.aliexpress.com/e/_dW3Uprs","AliExpress")</f>
        <v/>
      </c>
      <c r="O9" s="9" t="n"/>
      <c r="P9" s="11">
        <f>HYPERLINK("https://cnckitchenus.store/products/made-for-voron-gewindeeinsatz-threaded-insert-m3x5x4-100-stk-pcs","CNC Kitchen")</f>
        <v/>
      </c>
      <c r="Q9" s="9" t="n"/>
      <c r="R9" s="9" t="n"/>
      <c r="S9" s="9" t="n"/>
      <c r="T9" s="9" t="n"/>
      <c r="U9" s="9" t="n"/>
      <c r="V9" s="9" t="n"/>
    </row>
    <row r="10">
      <c r="A10" s="9" t="inlineStr">
        <is>
          <t>Fasteners</t>
        </is>
      </c>
      <c r="B10" s="9" t="inlineStr">
        <is>
          <t>M3 Washer</t>
        </is>
      </c>
      <c r="C10" s="9" t="inlineStr">
        <is>
          <t>ISO 7089 / DIN 125</t>
        </is>
      </c>
      <c r="D10" s="9" t="inlineStr">
        <is>
          <t>2</t>
        </is>
      </c>
      <c r="E10" s="9" t="inlineStr">
        <is>
          <t>All</t>
        </is>
      </c>
      <c r="F10" s="10">
        <f>HYPERLINK("https://www.boltdepot.com/Product-Details.aspx?product=4513","Bolt Depot")</f>
        <v/>
      </c>
      <c r="G10" s="9" t="n"/>
      <c r="H10" s="11">
        <f>HYPERLINK("https://www.mcmaster.com/93475A210/","McMaster-Carr (100 pack)")</f>
        <v/>
      </c>
      <c r="I10" s="9" t="n"/>
      <c r="J10" s="9" t="n"/>
      <c r="K10" s="9" t="n"/>
      <c r="L10" s="9" t="n"/>
      <c r="M10" s="9" t="n"/>
      <c r="N10" s="9" t="n"/>
      <c r="O10" s="9" t="n"/>
      <c r="P10" s="9" t="n"/>
      <c r="Q10" s="9" t="n"/>
      <c r="R10" s="9" t="n"/>
      <c r="S10" s="9" t="n"/>
      <c r="T10" s="9" t="n"/>
      <c r="U10" s="9" t="n"/>
      <c r="V10" s="9" t="n"/>
    </row>
    <row r="11">
      <c r="A11" s="9" t="inlineStr">
        <is>
          <t>Hardware</t>
        </is>
      </c>
      <c r="B11" s="9" t="inlineStr">
        <is>
          <t>Thumb Screw Assembly</t>
        </is>
      </c>
      <c r="C11" s="9" t="n"/>
      <c r="D11" s="9" t="inlineStr">
        <is>
          <t>1</t>
        </is>
      </c>
      <c r="E11" s="9" t="inlineStr">
        <is>
          <t>All</t>
        </is>
      </c>
      <c r="F11" s="10">
        <f>HYPERLINK("https://www.bondtech.se/en/product/thumbscrew-assembly","Bondtech")</f>
        <v/>
      </c>
      <c r="G11" s="9" t="n"/>
      <c r="H11" s="11">
        <f>HYPERLINK("https://www.filastruder.com/collections/bondtech/products/bondtech-thumbscrew-assembly","Filastruder")</f>
        <v/>
      </c>
      <c r="I11" s="9" t="n"/>
      <c r="J11" s="11">
        <f>HYPERLINK("https://s.click.aliexpress.com/e/_dUxr46o","TriangleLabs")</f>
        <v/>
      </c>
      <c r="K11" s="11">
        <f>HYPERLINK("https://www.aliexpress.com/item/32947691813.html","TriangleLabs")</f>
        <v/>
      </c>
      <c r="L11" s="9" t="n"/>
      <c r="M11" s="9" t="n"/>
      <c r="N11" s="9" t="n"/>
      <c r="O11" s="9" t="n"/>
      <c r="P11" s="9" t="n"/>
      <c r="Q11" s="9" t="n"/>
      <c r="R11" s="9" t="n"/>
      <c r="S11" s="9" t="n"/>
      <c r="T11" s="9" t="n"/>
      <c r="U11" s="9" t="n"/>
      <c r="V11" s="9" t="n"/>
    </row>
    <row r="12">
      <c r="A12" s="14" t="inlineStr">
        <is>
          <t>Motion</t>
        </is>
      </c>
      <c r="B12" s="14" t="inlineStr">
        <is>
          <t>GT2 Belt Loop (6mm wide) - 188mm</t>
        </is>
      </c>
      <c r="C12" s="14" t="n"/>
      <c r="D12" s="14" t="inlineStr">
        <is>
          <t>1</t>
        </is>
      </c>
      <c r="E12" s="14" t="inlineStr">
        <is>
          <t>All</t>
        </is>
      </c>
      <c r="F12" s="15">
        <f>HYPERLINK("https://www.aliexpress.com/item/4000034021834.html","POWGE")</f>
        <v/>
      </c>
      <c r="G12" s="16">
        <f>HYPERLINK("https://s.click.aliexpress.com/e/ripvAfVQ","[Affiliate Link]")</f>
        <v/>
      </c>
      <c r="H12" s="16">
        <f>HYPERLINK("https://s.click.aliexpress.com/e/ripvAfVQ","AliExpress")</f>
        <v/>
      </c>
      <c r="I12" s="14" t="n"/>
      <c r="J12" s="14" t="n"/>
      <c r="K12" s="14" t="n"/>
      <c r="L12" s="14" t="n"/>
      <c r="M12" s="14" t="n"/>
      <c r="N12" s="14" t="n"/>
      <c r="O12" s="14" t="n"/>
      <c r="P12" s="14" t="n"/>
      <c r="Q12" s="14" t="n"/>
      <c r="R12" s="14" t="n"/>
      <c r="S12" s="14" t="n"/>
      <c r="T12" s="14" t="n"/>
      <c r="U12" s="14" t="n"/>
      <c r="V12" s="18" t="inlineStr">
        <is>
          <t>some links were dead</t>
        </is>
      </c>
    </row>
    <row r="13">
      <c r="A13" s="14" t="inlineStr">
        <is>
          <t>Motion</t>
        </is>
      </c>
      <c r="B13" s="14" t="inlineStr">
        <is>
          <t>GT2 20T (6mm wide) Pulley (5mm bore)</t>
        </is>
      </c>
      <c r="C13" s="14" t="n"/>
      <c r="D13" s="14" t="inlineStr">
        <is>
          <t>2</t>
        </is>
      </c>
      <c r="E13" s="14" t="inlineStr">
        <is>
          <t>All</t>
        </is>
      </c>
      <c r="F13" s="15">
        <f>HYPERLINK("https://www.aliexpress.com/item/32226562320.html","POWGE")</f>
        <v/>
      </c>
      <c r="G13" s="16">
        <f>HYPERLINK("https://s.click.aliexpress.com/e/E1Y0mkUu","[Affiliate Link]")</f>
        <v/>
      </c>
      <c r="H13" s="16">
        <f>HYPERLINK("https://s.click.aliexpress.com/e/_AqN4lx","Aliexpress")</f>
        <v/>
      </c>
      <c r="I13" s="14" t="n"/>
      <c r="J13" s="16">
        <f>HYPERLINK("https://s.click.aliexpress.com/e/E1Y0mkUu","AliExpress")</f>
        <v/>
      </c>
      <c r="K13" s="16">
        <f>HYPERLINK("https://s.click.aliexpress.com/e/_dYtoM9A","Aliexpress")</f>
        <v/>
      </c>
      <c r="L13" s="14" t="n"/>
      <c r="M13" s="14" t="n"/>
      <c r="N13" s="14" t="n"/>
      <c r="O13" s="14" t="n"/>
      <c r="P13" s="14" t="n"/>
      <c r="Q13" s="14" t="n"/>
      <c r="R13" s="14" t="n"/>
      <c r="S13" s="14" t="n"/>
      <c r="T13" s="14" t="n"/>
      <c r="U13" s="14" t="n"/>
      <c r="V13" s="18" t="inlineStr">
        <is>
          <t>some links were dead</t>
        </is>
      </c>
    </row>
    <row r="14">
      <c r="A14" s="14" t="inlineStr">
        <is>
          <t>Motion</t>
        </is>
      </c>
      <c r="B14" s="14" t="inlineStr">
        <is>
          <t>F695 2RS Bearing</t>
        </is>
      </c>
      <c r="C14" s="14" t="n"/>
      <c r="D14" s="14" t="inlineStr">
        <is>
          <t>2</t>
        </is>
      </c>
      <c r="E14" s="14" t="inlineStr">
        <is>
          <t>All</t>
        </is>
      </c>
      <c r="F14" s="15">
        <f>HYPERLINK("https://www.aliexpress.com/item/33001186278.html","RainDew")</f>
        <v/>
      </c>
      <c r="G14" s="16">
        <f>HYPERLINK("https://s.click.aliexpress.com/e/FhQBXGmc","[Affiliate Link]")</f>
        <v/>
      </c>
      <c r="H14" s="16">
        <f>HYPERLINK("https://www.aliexpress.com/item/32850989216.html","Fushi")</f>
        <v/>
      </c>
      <c r="I14" s="16">
        <f>HYPERLINK("https://s.click.aliexpress.com/e/Mv4uHJoM","[Affiliate Link]")</f>
        <v/>
      </c>
      <c r="J14" s="16">
        <f>HYPERLINK("https://s.click.aliexpress.com/e/FhQBXGmc","AliExpress")</f>
        <v/>
      </c>
      <c r="K14" s="14" t="n"/>
      <c r="L14" s="14" t="n"/>
      <c r="M14" s="14" t="n"/>
      <c r="N14" s="14" t="n"/>
      <c r="O14" s="14" t="n"/>
      <c r="P14" s="14" t="n"/>
      <c r="Q14" s="14" t="n"/>
      <c r="R14" s="14" t="n"/>
      <c r="S14" s="14" t="n"/>
      <c r="T14" s="14" t="n"/>
      <c r="U14" s="14" t="n"/>
      <c r="V14" s="14" t="n"/>
    </row>
    <row r="15">
      <c r="A15" s="19" t="inlineStr">
        <is>
          <t>Extruder</t>
        </is>
      </c>
      <c r="B15" s="19" t="inlineStr">
        <is>
          <t>Complete BMG Extruder Clone</t>
        </is>
      </c>
      <c r="C15" s="19" t="n"/>
      <c r="D15" s="19" t="inlineStr">
        <is>
          <t>1</t>
        </is>
      </c>
      <c r="E15" s="19" t="inlineStr">
        <is>
          <t>All</t>
        </is>
      </c>
      <c r="F15" s="20">
        <f>HYPERLINK("https://www.bondtech.se/en/product/drivegear-kits","Bondtech")</f>
        <v/>
      </c>
      <c r="G15" s="19" t="n"/>
      <c r="H15" s="21">
        <f>HYPERLINK("https://www.filastruder.com/collections/bondtech/products/drivegear-kit","Filastruder")</f>
        <v/>
      </c>
      <c r="I15" s="19" t="n"/>
      <c r="J15" s="21">
        <f>HYPERLINK("https://s.click.aliexpress.com/e/_dY14nbA","Aliexpress (TL)")</f>
        <v/>
      </c>
      <c r="K15" s="21">
        <f>HYPERLINK("https://www.aliexpress.com/item/32907327548.html","TriangleLab")</f>
        <v/>
      </c>
      <c r="L15" s="21">
        <f>HYPERLINK("https://s.click.aliexpress.com/e/5dL9AJgU","[Affiliate Link]")</f>
        <v/>
      </c>
      <c r="M15" s="21">
        <f>HYPERLINK("https://s.click.aliexpress.com/e/_AU7ik2","Aliexpress (TL)")</f>
        <v/>
      </c>
      <c r="N15" s="21">
        <f>HYPERLINK("https://www.aliexpress.com/item/4000021186440.html","Aliexpress (TL)")</f>
        <v/>
      </c>
      <c r="O15" s="21">
        <f>HYPERLINK("https://s.click.aliexpress.com/e/_Alji4k","[Affiliate Link]")</f>
        <v/>
      </c>
      <c r="P15" s="21">
        <f>HYPERLINK("https://www.aliexpress.com/item/2255799834871688.html","Aliexpress (TriangleLabs)")</f>
        <v/>
      </c>
      <c r="Q15" s="21">
        <f>HYPERLINK("https://s.click.aliexpress.com/e/_dS7fWDW","TriangleLabs")</f>
        <v/>
      </c>
      <c r="R15" s="21">
        <f>HYPERLINK("https://www.aliexpress.com/item/32947193804.html","TriangleLabs")</f>
        <v/>
      </c>
      <c r="S15" s="21">
        <f>HYPERLINK("https://www.filastruder.com/products/bondtech-bmg-internals-set?_pos=1&amp;_sid=8f05bd81a&amp;_ss=r","Filastruder")</f>
        <v/>
      </c>
      <c r="T15" s="21">
        <f>HYPERLINK("https://www.printedsolid.com/products/bondtech-bmg-extruder","Printed Solid")</f>
        <v/>
      </c>
      <c r="U15" s="19" t="n"/>
      <c r="V15" s="23" t="inlineStr">
        <is>
          <t>some links were dead</t>
        </is>
      </c>
    </row>
    <row r="16">
      <c r="A16" s="14" t="inlineStr">
        <is>
          <t>Motion</t>
        </is>
      </c>
      <c r="B16" s="14" t="inlineStr">
        <is>
          <t>5mm x 50mm Shaft</t>
        </is>
      </c>
      <c r="C16" s="14" t="n"/>
      <c r="D16" s="14" t="inlineStr">
        <is>
          <t>1</t>
        </is>
      </c>
      <c r="E16" s="14" t="inlineStr">
        <is>
          <t>All</t>
        </is>
      </c>
      <c r="F16" s="15">
        <f>HYPERLINK("https://www.aliexpress.com/item/1739093502.html","linkcnc")</f>
        <v/>
      </c>
      <c r="G16" s="16">
        <f>HYPERLINK("https://s.click.aliexpress.com/e/pfKSpt7E","[Affiliate Link]")</f>
        <v/>
      </c>
      <c r="H16" s="14" t="n"/>
      <c r="I16" s="14" t="n"/>
      <c r="J16" s="14" t="n"/>
      <c r="K16" s="14" t="n"/>
      <c r="L16" s="14" t="n"/>
      <c r="M16" s="14" t="n"/>
      <c r="N16" s="14" t="n"/>
      <c r="O16" s="14" t="n"/>
      <c r="P16" s="14" t="n"/>
      <c r="Q16" s="14" t="n"/>
      <c r="R16" s="14" t="n"/>
      <c r="S16" s="14" t="n"/>
      <c r="T16" s="14" t="n"/>
      <c r="U16" s="14" t="n"/>
      <c r="V16" s="14" t="n"/>
    </row>
    <row r="17">
      <c r="A17" s="24" t="inlineStr">
        <is>
          <t>Electronics</t>
        </is>
      </c>
      <c r="B17" s="24" t="inlineStr">
        <is>
          <t>NEMA17 Motor 17HS15-1504S1</t>
        </is>
      </c>
      <c r="C17" s="24" t="n"/>
      <c r="D17" s="24" t="inlineStr">
        <is>
          <t>1</t>
        </is>
      </c>
      <c r="E17" s="24" t="inlineStr">
        <is>
          <t>All</t>
        </is>
      </c>
      <c r="F17" s="25">
        <f>HYPERLINK("https://www.omc-stepperonline.com/nema-17-bipolar-45ncm-63-74oz-in-1-5a-42x42x39mm-4-wires-w-1m-cable-and-connector.html","Stepper Online")</f>
        <v/>
      </c>
      <c r="G17" s="24" t="n"/>
      <c r="H17" s="26">
        <f>HYPERLINK("https://www.aliexpress.com/item/32589488227.html","Stepper Online")</f>
        <v/>
      </c>
      <c r="I17" s="24" t="n"/>
      <c r="J17" s="24" t="n"/>
      <c r="K17" s="24" t="n"/>
      <c r="L17" s="24" t="n"/>
      <c r="M17" s="24" t="n"/>
      <c r="N17" s="24" t="n"/>
      <c r="O17" s="24" t="n"/>
      <c r="P17" s="24" t="n"/>
      <c r="Q17" s="24" t="n"/>
      <c r="R17" s="24" t="n"/>
      <c r="S17" s="24" t="n"/>
      <c r="T17" s="24" t="n"/>
      <c r="U17" s="24" t="n"/>
      <c r="V17" s="24" t="n"/>
    </row>
    <row r="18">
      <c r="A18" s="56" t="inlineStr">
        <is>
          <t>Bowden</t>
        </is>
      </c>
      <c r="B18" s="56" t="inlineStr">
        <is>
          <t>Bowden Clip</t>
        </is>
      </c>
      <c r="C18" s="56" t="n"/>
      <c r="D18" s="56" t="inlineStr">
        <is>
          <t>1</t>
        </is>
      </c>
      <c r="E18" s="56" t="inlineStr">
        <is>
          <t>All</t>
        </is>
      </c>
      <c r="F18" s="57">
        <f>HYPERLINK("https://www.aliexpress.com/item/32892392365.html","TriangleLab")</f>
        <v/>
      </c>
      <c r="G18" s="58">
        <f>HYPERLINK("https://s.click.aliexpress.com/e/Njq3xkWG","[Affiliate Link]")</f>
        <v/>
      </c>
      <c r="H18" s="56" t="n"/>
      <c r="I18" s="56" t="n"/>
      <c r="J18" s="56" t="n"/>
      <c r="K18" s="56" t="n"/>
      <c r="L18" s="56" t="n"/>
      <c r="M18" s="56" t="n"/>
      <c r="N18" s="56" t="n"/>
      <c r="O18" s="56" t="n"/>
      <c r="P18" s="56" t="n"/>
      <c r="Q18" s="56" t="n"/>
      <c r="R18" s="56" t="n"/>
      <c r="S18" s="56" t="n"/>
      <c r="T18" s="56" t="n"/>
      <c r="U18" s="56" t="n"/>
      <c r="V18" s="56" t="n"/>
    </row>
    <row r="19">
      <c r="A19" s="56" t="inlineStr">
        <is>
          <t>Bowden</t>
        </is>
      </c>
      <c r="B19" s="56" t="inlineStr">
        <is>
          <t>Bowden Fitting</t>
        </is>
      </c>
      <c r="C19" s="56" t="n"/>
      <c r="D19" s="56" t="inlineStr">
        <is>
          <t>1</t>
        </is>
      </c>
      <c r="E19" s="56" t="inlineStr">
        <is>
          <t>All</t>
        </is>
      </c>
      <c r="F19" s="57">
        <f>HYPERLINK("https://s.click.aliexpress.com/e/_dZNWAU4","TriangleLab")</f>
        <v/>
      </c>
      <c r="G19" s="56" t="n"/>
      <c r="H19" s="58">
        <f>HYPERLINK("https://www.aliexpress.com/item/32934148155.html","TriangleLab")</f>
        <v/>
      </c>
      <c r="I19" s="58">
        <f>HYPERLINK("https://s.click.aliexpress.com/e/klIuTlpI","[Affiliate Link]")</f>
        <v/>
      </c>
      <c r="J19" s="56" t="n"/>
      <c r="K19" s="56" t="n"/>
      <c r="L19" s="56" t="n"/>
      <c r="M19" s="56" t="n"/>
      <c r="N19" s="56" t="n"/>
      <c r="O19" s="56" t="n"/>
      <c r="P19" s="56" t="n"/>
      <c r="Q19" s="56" t="n"/>
      <c r="R19" s="56" t="n"/>
      <c r="S19" s="56" t="n"/>
      <c r="T19" s="56" t="n"/>
      <c r="U19" s="56" t="n"/>
      <c r="V19" s="56" t="n"/>
    </row>
    <row r="20">
      <c r="B20" s="53" t="inlineStr">
        <is>
          <t>"As an Amazon Associate we earn from qualifying purchases.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25"/>
  <sheetViews>
    <sheetView workbookViewId="0">
      <pane ySplit="1" topLeftCell="A2" activePane="bottomLeft" state="frozen"/>
      <selection pane="bottomLeft" activeCell="A1" sqref="A1"/>
    </sheetView>
  </sheetViews>
  <sheetFormatPr baseColWidth="8" defaultRowHeight="15"/>
  <cols>
    <col width="19.9" customWidth="1" min="1" max="1"/>
    <col width="34.5" customWidth="1" min="2" max="2"/>
    <col width="17.1" customWidth="1" min="3" max="3"/>
    <col width="7" customWidth="1" min="4" max="4"/>
    <col width="8.5" customWidth="1" min="5" max="5"/>
    <col width="20" customWidth="1" min="6" max="6"/>
    <col width="15" customWidth="1" min="7" max="7"/>
    <col width="20" customWidth="1" min="8" max="8"/>
    <col width="15" customWidth="1" min="9" max="9"/>
    <col width="20" customWidth="1" min="10" max="10"/>
    <col width="15" customWidth="1" min="11" max="11"/>
    <col width="20" customWidth="1" min="12" max="12"/>
    <col width="15" customWidth="1" min="13" max="13"/>
    <col width="20" customWidth="1" min="14" max="14"/>
    <col width="15" customWidth="1" min="15" max="15"/>
    <col width="20" customWidth="1" min="16" max="16"/>
    <col width="15" customWidth="1" min="17" max="17"/>
    <col width="20" customWidth="1" min="18" max="18"/>
    <col width="20" customWidth="1" min="19" max="19"/>
    <col width="20" customWidth="1" min="20" max="20"/>
    <col width="20" customWidth="1" min="21" max="21"/>
    <col width="20" customWidth="1" min="22" max="22"/>
    <col width="20" customWidth="1" min="23" max="23"/>
    <col width="90" customWidth="1" min="24" max="24"/>
    <col width="20" customWidth="1" min="25" max="25"/>
  </cols>
  <sheetData>
    <row r="1">
      <c r="A1" s="3" t="inlineStr">
        <is>
          <t>Category</t>
        </is>
      </c>
      <c r="B1" s="3" t="inlineStr">
        <is>
          <t>Component</t>
        </is>
      </c>
      <c r="C1" s="3" t="inlineStr">
        <is>
          <t>Standard</t>
        </is>
      </c>
      <c r="D1" s="3" t="inlineStr">
        <is>
          <t>Qty</t>
        </is>
      </c>
      <c r="E1" s="3" t="inlineStr">
        <is>
          <t>Size</t>
        </is>
      </c>
      <c r="F1" s="4" t="inlineStr">
        <is>
          <t>Recommended</t>
        </is>
      </c>
      <c r="G1" s="3" t="inlineStr"/>
      <c r="H1" s="4" t="inlineStr">
        <is>
          <t>Alternative Source</t>
        </is>
      </c>
      <c r="I1" s="3" t="inlineStr"/>
      <c r="J1" s="4" t="inlineStr">
        <is>
          <t>Alternative Source 2</t>
        </is>
      </c>
      <c r="K1" s="3" t="inlineStr"/>
      <c r="L1" s="4" t="inlineStr">
        <is>
          <t>Alternative Source 3</t>
        </is>
      </c>
      <c r="M1" s="3" t="inlineStr"/>
      <c r="N1" s="4" t="inlineStr">
        <is>
          <t>Alternative Source 4</t>
        </is>
      </c>
      <c r="O1" s="3" t="inlineStr"/>
      <c r="P1" s="4" t="inlineStr">
        <is>
          <t>Alternative Source 5</t>
        </is>
      </c>
      <c r="Q1" s="3" t="inlineStr"/>
      <c r="R1" s="4" t="inlineStr">
        <is>
          <t>Alternative Source 6</t>
        </is>
      </c>
      <c r="S1" s="4" t="inlineStr">
        <is>
          <t>Alternative Source 7</t>
        </is>
      </c>
      <c r="T1" s="4" t="inlineStr">
        <is>
          <t>Alternative Source 8</t>
        </is>
      </c>
      <c r="U1" s="4" t="inlineStr">
        <is>
          <t>Alternative Source 9</t>
        </is>
      </c>
      <c r="V1" s="4" t="inlineStr">
        <is>
          <t>Alternative Source 10</t>
        </is>
      </c>
      <c r="W1" s="4" t="inlineStr">
        <is>
          <t>Alternative Source 11</t>
        </is>
      </c>
      <c r="X1" s="3" t="inlineStr">
        <is>
          <t>Notes</t>
        </is>
      </c>
      <c r="Y1" s="3" t="inlineStr">
        <is>
          <t>Link check</t>
        </is>
      </c>
    </row>
    <row r="2">
      <c r="A2" s="5" t="inlineStr">
        <is>
          <t>Filament</t>
        </is>
      </c>
      <c r="B2" s="5" t="inlineStr">
        <is>
          <t>Primary Color (Black)</t>
        </is>
      </c>
      <c r="C2" s="5" t="n"/>
      <c r="D2" s="5" t="inlineStr">
        <is>
          <t>1</t>
        </is>
      </c>
      <c r="E2" s="5" t="inlineStr">
        <is>
          <t>All</t>
        </is>
      </c>
      <c r="F2" s="6">
        <f>HYPERLINK("https://www.paramount-3d.com/product-page/absblack","Paramount ABS")</f>
        <v/>
      </c>
      <c r="G2" s="7">
        <f>HYPERLINK("https://amzn.to/2nb63qR","[Affiliate Link]")</f>
        <v/>
      </c>
      <c r="H2" s="5" t="n"/>
      <c r="I2" s="5" t="n"/>
      <c r="J2" s="5" t="n"/>
      <c r="K2" s="5" t="n"/>
      <c r="L2" s="5" t="n"/>
      <c r="M2" s="5" t="n"/>
      <c r="N2" s="5" t="n"/>
      <c r="O2" s="5" t="n"/>
      <c r="P2" s="5" t="n"/>
      <c r="Q2" s="5" t="n"/>
      <c r="R2" s="5" t="n"/>
      <c r="S2" s="5" t="n"/>
      <c r="T2" s="5" t="n"/>
      <c r="U2" s="5" t="n"/>
      <c r="V2" s="5" t="n"/>
      <c r="W2" s="5" t="n"/>
      <c r="X2" s="8" t="inlineStr">
        <is>
          <t>MakeShaper ABS</t>
        </is>
      </c>
      <c r="Y2" s="29" t="inlineStr">
        <is>
          <t>some links were dead</t>
        </is>
      </c>
    </row>
    <row r="3">
      <c r="A3" s="5" t="inlineStr">
        <is>
          <t>Filament</t>
        </is>
      </c>
      <c r="B3" s="5" t="inlineStr">
        <is>
          <t>Secondary Color (Red)</t>
        </is>
      </c>
      <c r="C3" s="5" t="n"/>
      <c r="D3" s="5" t="inlineStr">
        <is>
          <t>1</t>
        </is>
      </c>
      <c r="E3" s="5" t="inlineStr">
        <is>
          <t>All</t>
        </is>
      </c>
      <c r="F3" s="6">
        <f>HYPERLINK("https://www.paramount-3d.com/product-page/abs-pantone-enzo-red-485c-1-75mm-1kg-filament-trrl3020485c","Paramount ABS")</f>
        <v/>
      </c>
      <c r="G3" s="7">
        <f>HYPERLINK("https://amzn.to/2lqEYQ1","[Affiliate Link]")</f>
        <v/>
      </c>
      <c r="H3" s="7">
        <f>HYPERLINK("https://www.amazon.com/dp/B00J0HB1YI","Hatchbox ABS")</f>
        <v/>
      </c>
      <c r="I3" s="7">
        <f>HYPERLINK("https://amzn.to/2ltf8Lj","[Affiliate Link]")</f>
        <v/>
      </c>
      <c r="J3" s="5" t="n"/>
      <c r="K3" s="5" t="n"/>
      <c r="L3" s="5" t="n"/>
      <c r="M3" s="5" t="n"/>
      <c r="N3" s="5" t="n"/>
      <c r="O3" s="5" t="n"/>
      <c r="P3" s="5" t="n"/>
      <c r="Q3" s="5" t="n"/>
      <c r="R3" s="5" t="n"/>
      <c r="S3" s="5" t="n"/>
      <c r="T3" s="5" t="n"/>
      <c r="U3" s="5" t="n"/>
      <c r="V3" s="5" t="n"/>
      <c r="W3" s="5" t="n"/>
      <c r="X3" s="8" t="inlineStr">
        <is>
          <t>MakeShaper ABS</t>
        </is>
      </c>
      <c r="Y3" s="29" t="inlineStr">
        <is>
          <t>some links were dead</t>
        </is>
      </c>
    </row>
    <row r="4">
      <c r="A4" s="5" t="inlineStr">
        <is>
          <t>Printed Parts</t>
        </is>
      </c>
      <c r="B4" s="5" t="inlineStr">
        <is>
          <t>Printed Parts</t>
        </is>
      </c>
      <c r="C4" s="5" t="n"/>
      <c r="D4" s="5" t="inlineStr">
        <is>
          <t>1</t>
        </is>
      </c>
      <c r="E4" s="5" t="inlineStr">
        <is>
          <t>All</t>
        </is>
      </c>
      <c r="F4" s="6">
        <f>HYPERLINK("https://pif.voron.dev/","Print It Forward")</f>
        <v/>
      </c>
      <c r="G4" s="5" t="n"/>
      <c r="H4" s="5" t="inlineStr">
        <is>
          <t>Print Yourself</t>
        </is>
      </c>
      <c r="I4" s="5" t="n"/>
      <c r="J4" s="5" t="n"/>
      <c r="K4" s="5" t="n"/>
      <c r="L4" s="5" t="n"/>
      <c r="M4" s="5" t="n"/>
      <c r="N4" s="5" t="n"/>
      <c r="O4" s="5" t="n"/>
      <c r="P4" s="5" t="n"/>
      <c r="Q4" s="5" t="n"/>
      <c r="R4" s="5" t="n"/>
      <c r="S4" s="5" t="n"/>
      <c r="T4" s="5" t="n"/>
      <c r="U4" s="5" t="n"/>
      <c r="V4" s="5" t="n"/>
      <c r="W4" s="5" t="n"/>
      <c r="X4" s="5" t="n"/>
      <c r="Y4" s="5" t="n"/>
    </row>
    <row r="5">
      <c r="A5" s="9" t="inlineStr">
        <is>
          <t>Fasteners</t>
        </is>
      </c>
      <c r="B5" s="9" t="inlineStr">
        <is>
          <t>M3x30 SHCS</t>
        </is>
      </c>
      <c r="C5" s="9" t="inlineStr">
        <is>
          <t>ISO 4762 / DIN 912</t>
        </is>
      </c>
      <c r="D5" s="9" t="inlineStr">
        <is>
          <t>5</t>
        </is>
      </c>
      <c r="E5" s="9" t="inlineStr">
        <is>
          <t>All</t>
        </is>
      </c>
      <c r="F5" s="10">
        <f>HYPERLINK("https://www.boltdepot.com/Product-Details.aspx?product=13641","Bolt Depot")</f>
        <v/>
      </c>
      <c r="G5" s="9" t="n"/>
      <c r="H5" s="11">
        <f>HYPERLINK("https://www.mcmaster.com/91290A171/","McMaster-Carr (10 pack)")</f>
        <v/>
      </c>
      <c r="I5" s="9" t="n"/>
      <c r="J5" s="9" t="n"/>
      <c r="K5" s="9" t="n"/>
      <c r="L5" s="9" t="n"/>
      <c r="M5" s="9" t="n"/>
      <c r="N5" s="9" t="n"/>
      <c r="O5" s="9" t="n"/>
      <c r="P5" s="9" t="n"/>
      <c r="Q5" s="9" t="n"/>
      <c r="R5" s="9" t="n"/>
      <c r="S5" s="9" t="n"/>
      <c r="T5" s="9" t="n"/>
      <c r="U5" s="9" t="n"/>
      <c r="V5" s="9" t="n"/>
      <c r="W5" s="9" t="n"/>
      <c r="X5" s="9" t="n"/>
      <c r="Y5" s="9" t="n"/>
    </row>
    <row r="6">
      <c r="A6" s="9" t="inlineStr">
        <is>
          <t>Fasteners</t>
        </is>
      </c>
      <c r="B6" s="9" t="inlineStr">
        <is>
          <t>M3x20 SHCS</t>
        </is>
      </c>
      <c r="C6" s="9" t="inlineStr">
        <is>
          <t>ISO 4762 / DIN 912</t>
        </is>
      </c>
      <c r="D6" s="9" t="inlineStr">
        <is>
          <t>1</t>
        </is>
      </c>
      <c r="E6" s="9" t="inlineStr">
        <is>
          <t>All</t>
        </is>
      </c>
      <c r="F6" s="10">
        <f>HYPERLINK("https://www.boltdepot.com/Product-Details.aspx?product=13639","Bolt Depot")</f>
        <v/>
      </c>
      <c r="G6" s="9" t="n"/>
      <c r="H6" s="11">
        <f>HYPERLINK("https://www.mcmaster.com/91290A123/","McMaster-Carr (100 pack)")</f>
        <v/>
      </c>
      <c r="I6" s="9" t="n"/>
      <c r="J6" s="9" t="n"/>
      <c r="K6" s="9" t="n"/>
      <c r="L6" s="9" t="n"/>
      <c r="M6" s="9" t="n"/>
      <c r="N6" s="9" t="n"/>
      <c r="O6" s="9" t="n"/>
      <c r="P6" s="9" t="n"/>
      <c r="Q6" s="9" t="n"/>
      <c r="R6" s="9" t="n"/>
      <c r="S6" s="9" t="n"/>
      <c r="T6" s="9" t="n"/>
      <c r="U6" s="9" t="n"/>
      <c r="V6" s="9" t="n"/>
      <c r="W6" s="9" t="n"/>
      <c r="X6" s="9" t="n"/>
      <c r="Y6" s="9" t="n"/>
    </row>
    <row r="7">
      <c r="A7" s="9" t="inlineStr">
        <is>
          <t>Fasteners</t>
        </is>
      </c>
      <c r="B7" s="9" t="inlineStr">
        <is>
          <t>M3x12 SHCS</t>
        </is>
      </c>
      <c r="C7" s="9" t="inlineStr">
        <is>
          <t>ISO 4762 / DIN 912</t>
        </is>
      </c>
      <c r="D7" s="9" t="inlineStr">
        <is>
          <t>1</t>
        </is>
      </c>
      <c r="E7" s="9" t="inlineStr">
        <is>
          <t>All</t>
        </is>
      </c>
      <c r="F7" s="10">
        <f>HYPERLINK("https://www.boltdepot.com/Product-Details.aspx?product=13637","Bolt Depot")</f>
        <v/>
      </c>
      <c r="G7" s="9" t="n"/>
      <c r="H7" s="11">
        <f>HYPERLINK("https://www.mcmaster.com/91290A117/","McMaster-Carr (100 pack)")</f>
        <v/>
      </c>
      <c r="I7" s="9" t="n"/>
      <c r="J7" s="9" t="n"/>
      <c r="K7" s="9" t="n"/>
      <c r="L7" s="9" t="n"/>
      <c r="M7" s="9" t="n"/>
      <c r="N7" s="9" t="n"/>
      <c r="O7" s="9" t="n"/>
      <c r="P7" s="9" t="n"/>
      <c r="Q7" s="9" t="n"/>
      <c r="R7" s="9" t="n"/>
      <c r="S7" s="9" t="n"/>
      <c r="T7" s="9" t="n"/>
      <c r="U7" s="9" t="n"/>
      <c r="V7" s="9" t="n"/>
      <c r="W7" s="9" t="n"/>
      <c r="X7" s="9" t="n"/>
      <c r="Y7" s="9" t="n"/>
    </row>
    <row r="8">
      <c r="A8" s="9" t="inlineStr">
        <is>
          <t>Fasteners</t>
        </is>
      </c>
      <c r="B8" s="9" t="inlineStr">
        <is>
          <t>M3x8 SHCS</t>
        </is>
      </c>
      <c r="C8" s="9" t="inlineStr">
        <is>
          <t>ISO 4762 / DIN 912</t>
        </is>
      </c>
      <c r="D8" s="9" t="inlineStr">
        <is>
          <t>2</t>
        </is>
      </c>
      <c r="E8" s="9" t="inlineStr">
        <is>
          <t>All</t>
        </is>
      </c>
      <c r="F8" s="10">
        <f>HYPERLINK("https://www.boltdepot.com/Product-Details.aspx?product=13635","Bolt Depot")</f>
        <v/>
      </c>
      <c r="G8" s="9" t="n"/>
      <c r="H8" s="11">
        <f>HYPERLINK("https://www.boltdepot.com/Product-Details.aspx?product=13633","Bolt Depot")</f>
        <v/>
      </c>
      <c r="I8" s="9" t="n"/>
      <c r="J8" s="11">
        <f>HYPERLINK("https://www.mcmaster.com/91290A113/","McMaster-Carr (100 pack)")</f>
        <v/>
      </c>
      <c r="K8" s="9" t="n"/>
      <c r="L8" s="9" t="n"/>
      <c r="M8" s="9" t="n"/>
      <c r="N8" s="9" t="n"/>
      <c r="O8" s="9" t="n"/>
      <c r="P8" s="9" t="n"/>
      <c r="Q8" s="9" t="n"/>
      <c r="R8" s="9" t="n"/>
      <c r="S8" s="9" t="n"/>
      <c r="T8" s="9" t="n"/>
      <c r="U8" s="9" t="n"/>
      <c r="V8" s="9" t="n"/>
      <c r="W8" s="9" t="n"/>
      <c r="X8" s="9" t="n"/>
      <c r="Y8" s="9" t="n"/>
    </row>
    <row r="9">
      <c r="A9" s="9" t="inlineStr">
        <is>
          <t>Fasteners</t>
        </is>
      </c>
      <c r="B9" s="9" t="inlineStr">
        <is>
          <t>M3x6 SHCS</t>
        </is>
      </c>
      <c r="C9" s="9" t="n"/>
      <c r="D9" s="9" t="inlineStr">
        <is>
          <t>2</t>
        </is>
      </c>
      <c r="E9" s="9" t="inlineStr">
        <is>
          <t>All</t>
        </is>
      </c>
      <c r="F9" s="10">
        <f>HYPERLINK("https://www.boltdepot.com/Product-Details.aspx?product=13634","Bolt Depot")</f>
        <v/>
      </c>
      <c r="G9" s="9" t="n"/>
      <c r="H9" s="11">
        <f>HYPERLINK("https://www.mcmaster.com/91290A111/","McMaster-Carr (100 pack)")</f>
        <v/>
      </c>
      <c r="I9" s="9" t="n"/>
      <c r="J9" s="9" t="n"/>
      <c r="K9" s="9" t="n"/>
      <c r="L9" s="9" t="n"/>
      <c r="M9" s="9" t="n"/>
      <c r="N9" s="9" t="n"/>
      <c r="O9" s="9" t="n"/>
      <c r="P9" s="9" t="n"/>
      <c r="Q9" s="9" t="n"/>
      <c r="R9" s="9" t="n"/>
      <c r="S9" s="9" t="n"/>
      <c r="T9" s="9" t="n"/>
      <c r="U9" s="9" t="n"/>
      <c r="V9" s="9" t="n"/>
      <c r="W9" s="9" t="n"/>
      <c r="X9" s="9" t="n"/>
      <c r="Y9" s="9" t="n"/>
    </row>
    <row r="10">
      <c r="A10" s="9" t="inlineStr">
        <is>
          <t>Fasteners</t>
        </is>
      </c>
      <c r="B10" s="9" t="inlineStr">
        <is>
          <t>M3x6 BHCS</t>
        </is>
      </c>
      <c r="C10" s="9" t="inlineStr">
        <is>
          <t>ISO 7380-1</t>
        </is>
      </c>
      <c r="D10" s="9" t="inlineStr">
        <is>
          <t>5</t>
        </is>
      </c>
      <c r="E10" s="9" t="inlineStr">
        <is>
          <t>All</t>
        </is>
      </c>
      <c r="F10" s="10">
        <f>HYPERLINK("https://www.boltdepot.com/Product-Details.aspx?product=13334","Bolt Depot")</f>
        <v/>
      </c>
      <c r="G10" s="9" t="n"/>
      <c r="H10" s="11">
        <f>HYPERLINK("https://www.boltdepot.com/Metric_socket_button_head_Class_12.9_alloy_steel_black_oxide_finish_3mm_x_0.5mm.aspx","Bolt Depot")</f>
        <v/>
      </c>
      <c r="I10" s="9" t="n"/>
      <c r="J10" s="11">
        <f>HYPERLINK("https://www.mcmaster.com/91239A111/","McMaster-Carr (100 pack)")</f>
        <v/>
      </c>
      <c r="K10" s="9" t="n"/>
      <c r="L10" s="11">
        <f>HYPERLINK("https://s.click.aliexpress.com/e/_d7V4XEq","Aliexpress")</f>
        <v/>
      </c>
      <c r="M10" s="9" t="n"/>
      <c r="N10" s="9" t="n"/>
      <c r="O10" s="9" t="n"/>
      <c r="P10" s="9" t="n"/>
      <c r="Q10" s="9" t="n"/>
      <c r="R10" s="9" t="n"/>
      <c r="S10" s="9" t="n"/>
      <c r="T10" s="9" t="n"/>
      <c r="U10" s="9" t="n"/>
      <c r="V10" s="9" t="n"/>
      <c r="W10" s="9" t="n"/>
      <c r="X10" s="9" t="n"/>
      <c r="Y10" s="9" t="n"/>
    </row>
    <row r="11">
      <c r="A11" s="9" t="inlineStr">
        <is>
          <t>Hardware</t>
        </is>
      </c>
      <c r="B11" s="9" t="inlineStr">
        <is>
          <t>M3 Hexnut</t>
        </is>
      </c>
      <c r="C11" s="9" t="inlineStr">
        <is>
          <t>ISO 4033 / DIN 934</t>
        </is>
      </c>
      <c r="D11" s="9" t="inlineStr">
        <is>
          <t>6</t>
        </is>
      </c>
      <c r="E11" s="9" t="inlineStr">
        <is>
          <t>All</t>
        </is>
      </c>
      <c r="F11" s="10">
        <f>HYPERLINK("https://www.boltdepot.com/Product-Details.aspx?product=4783","Bolt Depot")</f>
        <v/>
      </c>
      <c r="G11" s="9" t="n"/>
      <c r="H11" s="11">
        <f>HYPERLINK("https://www.boltdepot.com/Metric_hex_nuts_Stainless_steel_18-8_(A-2).aspx","Bolt Depot")</f>
        <v/>
      </c>
      <c r="I11" s="9" t="n"/>
      <c r="J11" s="11">
        <f>HYPERLINK("https://www.mcmaster.com/90591A250/","McMaster-Carr (100 pack)")</f>
        <v/>
      </c>
      <c r="K11" s="9" t="n"/>
      <c r="L11" s="11">
        <f>HYPERLINK("https://www.aliexpress.com/item/32977174437.html","Aliexpress")</f>
        <v/>
      </c>
      <c r="M11" s="9" t="n"/>
      <c r="N11" s="9" t="n"/>
      <c r="O11" s="9" t="n"/>
      <c r="P11" s="9" t="n"/>
      <c r="Q11" s="9" t="n"/>
      <c r="R11" s="9" t="n"/>
      <c r="S11" s="9" t="n"/>
      <c r="T11" s="9" t="n"/>
      <c r="U11" s="9" t="n"/>
      <c r="V11" s="9" t="n"/>
      <c r="W11" s="9" t="n"/>
      <c r="X11" s="9" t="n"/>
      <c r="Y11" s="9" t="n"/>
    </row>
    <row r="12">
      <c r="A12" s="9" t="inlineStr">
        <is>
          <t>Fasteners</t>
        </is>
      </c>
      <c r="B12" s="9" t="inlineStr">
        <is>
          <t>M3 Locknut</t>
        </is>
      </c>
      <c r="C12" s="9" t="inlineStr">
        <is>
          <t>DIN 985</t>
        </is>
      </c>
      <c r="D12" s="9" t="inlineStr">
        <is>
          <t>1</t>
        </is>
      </c>
      <c r="E12" s="9" t="inlineStr">
        <is>
          <t>All</t>
        </is>
      </c>
      <c r="F12" s="10">
        <f>HYPERLINK("https://www.boltdepot.com/Product-Details.aspx?product=4370","Bolt Depot")</f>
        <v/>
      </c>
      <c r="G12" s="9" t="n"/>
      <c r="H12" s="11">
        <f>HYPERLINK("https://www.boltdepot.com/Product-Details.aspx?product=4792","Bolt Depot")</f>
        <v/>
      </c>
      <c r="I12" s="9" t="n"/>
      <c r="J12" s="11">
        <f>HYPERLINK("https://www.mcmaster.com/90576A102/","McMaster-Carr (100 pack)")</f>
        <v/>
      </c>
      <c r="K12" s="9" t="n"/>
      <c r="L12" s="11">
        <f>HYPERLINK("https://www.aliexpress.com/item/32988995881.html","Aliexpress")</f>
        <v/>
      </c>
      <c r="M12" s="9" t="n"/>
      <c r="N12" s="11">
        <f>HYPERLINK("https://www.amazon.com/dp/B07BD24MXV","Amazon")</f>
        <v/>
      </c>
      <c r="O12" s="9" t="n"/>
      <c r="P12" s="11">
        <f>HYPERLINK("https://www.mcmaster.com/93625A100/","McMaster-Carr (100 pack)")</f>
        <v/>
      </c>
      <c r="Q12" s="9" t="n"/>
      <c r="R12" s="9" t="n"/>
      <c r="S12" s="9" t="n"/>
      <c r="T12" s="9" t="n"/>
      <c r="U12" s="9" t="n"/>
      <c r="V12" s="9" t="n"/>
      <c r="W12" s="9" t="n"/>
      <c r="X12" s="9" t="n"/>
      <c r="Y12" s="9" t="n"/>
    </row>
    <row r="13">
      <c r="A13" s="9" t="inlineStr">
        <is>
          <t>Fasteners</t>
        </is>
      </c>
      <c r="B13" s="9" t="inlineStr">
        <is>
          <t>M2x12 Self Tapping Screw for Plastics</t>
        </is>
      </c>
      <c r="C13" s="9" t="n"/>
      <c r="D13" s="9" t="inlineStr">
        <is>
          <t>2</t>
        </is>
      </c>
      <c r="E13" s="9" t="inlineStr">
        <is>
          <t>All</t>
        </is>
      </c>
      <c r="F13" s="10">
        <f>HYPERLINK("https://www.mcmaster.com/99397A269/","McMaster-Carr (50 pack)")</f>
        <v/>
      </c>
      <c r="G13" s="9" t="n"/>
      <c r="H13" s="9" t="n"/>
      <c r="I13" s="9" t="n"/>
      <c r="J13" s="9" t="n"/>
      <c r="K13" s="9" t="n"/>
      <c r="L13" s="9" t="n"/>
      <c r="M13" s="9" t="n"/>
      <c r="N13" s="9" t="n"/>
      <c r="O13" s="9" t="n"/>
      <c r="P13" s="9" t="n"/>
      <c r="Q13" s="9" t="n"/>
      <c r="R13" s="9" t="n"/>
      <c r="S13" s="9" t="n"/>
      <c r="T13" s="9" t="n"/>
      <c r="U13" s="9" t="n"/>
      <c r="V13" s="9" t="n"/>
      <c r="W13" s="9" t="n"/>
      <c r="X13" s="9" t="n"/>
      <c r="Y13" s="12" t="inlineStr">
        <is>
          <t>some links were dead</t>
        </is>
      </c>
    </row>
    <row r="14">
      <c r="A14" s="14" t="inlineStr">
        <is>
          <t>Motion</t>
        </is>
      </c>
      <c r="B14" s="14" t="inlineStr">
        <is>
          <t>5mm x 50mm Shaft</t>
        </is>
      </c>
      <c r="C14" s="14" t="n"/>
      <c r="D14" s="14" t="inlineStr">
        <is>
          <t>1</t>
        </is>
      </c>
      <c r="E14" s="14" t="inlineStr">
        <is>
          <t>All</t>
        </is>
      </c>
      <c r="F14" s="15">
        <f>HYPERLINK("https://www.aliexpress.com/item/1739093502.html","linkcnc")</f>
        <v/>
      </c>
      <c r="G14" s="16">
        <f>HYPERLINK("https://s.click.aliexpress.com/e/pfKSpt7E","[Affiliate Link]")</f>
        <v/>
      </c>
      <c r="H14" s="14" t="n"/>
      <c r="I14" s="14" t="n"/>
      <c r="J14" s="14" t="n"/>
      <c r="K14" s="14" t="n"/>
      <c r="L14" s="14" t="n"/>
      <c r="M14" s="14" t="n"/>
      <c r="N14" s="14" t="n"/>
      <c r="O14" s="14" t="n"/>
      <c r="P14" s="14" t="n"/>
      <c r="Q14" s="14" t="n"/>
      <c r="R14" s="14" t="n"/>
      <c r="S14" s="14" t="n"/>
      <c r="T14" s="14" t="n"/>
      <c r="U14" s="14" t="n"/>
      <c r="V14" s="14" t="n"/>
      <c r="W14" s="14" t="n"/>
      <c r="X14" s="14" t="n"/>
      <c r="Y14" s="14" t="n"/>
    </row>
    <row r="15">
      <c r="A15" s="14" t="inlineStr">
        <is>
          <t>Motion</t>
        </is>
      </c>
      <c r="B15" s="14" t="inlineStr">
        <is>
          <t>GT2 Belt Loop (6mm wide) - 188mm</t>
        </is>
      </c>
      <c r="C15" s="14" t="n"/>
      <c r="D15" s="14" t="inlineStr">
        <is>
          <t>1</t>
        </is>
      </c>
      <c r="E15" s="14" t="inlineStr">
        <is>
          <t>All</t>
        </is>
      </c>
      <c r="F15" s="15">
        <f>HYPERLINK("https://www.aliexpress.com/item/4000034021834.html","POWGE")</f>
        <v/>
      </c>
      <c r="G15" s="16">
        <f>HYPERLINK("https://s.click.aliexpress.com/e/ripvAfVQ","[Affiliate Link]")</f>
        <v/>
      </c>
      <c r="H15" s="16">
        <f>HYPERLINK("https://s.click.aliexpress.com/e/ripvAfVQ","AliExpress")</f>
        <v/>
      </c>
      <c r="I15" s="14" t="n"/>
      <c r="J15" s="14" t="n"/>
      <c r="K15" s="14" t="n"/>
      <c r="L15" s="14" t="n"/>
      <c r="M15" s="14" t="n"/>
      <c r="N15" s="14" t="n"/>
      <c r="O15" s="14" t="n"/>
      <c r="P15" s="14" t="n"/>
      <c r="Q15" s="14" t="n"/>
      <c r="R15" s="14" t="n"/>
      <c r="S15" s="14" t="n"/>
      <c r="T15" s="14" t="n"/>
      <c r="U15" s="14" t="n"/>
      <c r="V15" s="14" t="n"/>
      <c r="W15" s="14" t="n"/>
      <c r="X15" s="14" t="n"/>
      <c r="Y15" s="18" t="inlineStr">
        <is>
          <t>some links were dead</t>
        </is>
      </c>
    </row>
    <row r="16">
      <c r="A16" s="14" t="inlineStr">
        <is>
          <t>Motion</t>
        </is>
      </c>
      <c r="B16" s="14" t="inlineStr">
        <is>
          <t>GT2 20T (6mm wide) Pulley (5mm bore)</t>
        </is>
      </c>
      <c r="C16" s="14" t="n"/>
      <c r="D16" s="14" t="inlineStr">
        <is>
          <t>2</t>
        </is>
      </c>
      <c r="E16" s="14" t="inlineStr">
        <is>
          <t>All</t>
        </is>
      </c>
      <c r="F16" s="15">
        <f>HYPERLINK("https://www.aliexpress.com/item/32226562320.html","POWGE")</f>
        <v/>
      </c>
      <c r="G16" s="16">
        <f>HYPERLINK("https://s.click.aliexpress.com/e/E1Y0mkUu","[Affiliate Link]")</f>
        <v/>
      </c>
      <c r="H16" s="16">
        <f>HYPERLINK("https://s.click.aliexpress.com/e/_AqN4lx","Aliexpress")</f>
        <v/>
      </c>
      <c r="I16" s="14" t="n"/>
      <c r="J16" s="16">
        <f>HYPERLINK("https://s.click.aliexpress.com/e/E1Y0mkUu","AliExpress")</f>
        <v/>
      </c>
      <c r="K16" s="14" t="n"/>
      <c r="L16" s="16">
        <f>HYPERLINK("https://s.click.aliexpress.com/e/_dYtoM9A","Aliexpress")</f>
        <v/>
      </c>
      <c r="M16" s="14" t="n"/>
      <c r="N16" s="14" t="n"/>
      <c r="O16" s="14" t="n"/>
      <c r="P16" s="14" t="n"/>
      <c r="Q16" s="14" t="n"/>
      <c r="R16" s="14" t="n"/>
      <c r="S16" s="14" t="n"/>
      <c r="T16" s="14" t="n"/>
      <c r="U16" s="14" t="n"/>
      <c r="V16" s="14" t="n"/>
      <c r="W16" s="14" t="n"/>
      <c r="X16" s="14" t="n"/>
      <c r="Y16" s="14" t="n"/>
    </row>
    <row r="17">
      <c r="A17" s="14" t="inlineStr">
        <is>
          <t>Motion</t>
        </is>
      </c>
      <c r="B17" s="14" t="inlineStr">
        <is>
          <t>F695 2RS Bearing</t>
        </is>
      </c>
      <c r="C17" s="14" t="n"/>
      <c r="D17" s="14" t="inlineStr">
        <is>
          <t>2</t>
        </is>
      </c>
      <c r="E17" s="14" t="inlineStr">
        <is>
          <t>All</t>
        </is>
      </c>
      <c r="F17" s="15">
        <f>HYPERLINK("https://www.aliexpress.com/item/33001186278.html","RainDew")</f>
        <v/>
      </c>
      <c r="G17" s="16">
        <f>HYPERLINK("https://s.click.aliexpress.com/e/FhQBXGmc","[Affiliate Link]")</f>
        <v/>
      </c>
      <c r="H17" s="16">
        <f>HYPERLINK("https://www.aliexpress.com/item/32850989216.html","Fushi")</f>
        <v/>
      </c>
      <c r="I17" s="16">
        <f>HYPERLINK("https://s.click.aliexpress.com/e/Mv4uHJoM","[Affiliate Link]")</f>
        <v/>
      </c>
      <c r="J17" s="16">
        <f>HYPERLINK("https://s.click.aliexpress.com/e/FhQBXGmc","AliExpress")</f>
        <v/>
      </c>
      <c r="K17" s="14" t="n"/>
      <c r="L17" s="14" t="n"/>
      <c r="M17" s="14" t="n"/>
      <c r="N17" s="14" t="n"/>
      <c r="O17" s="14" t="n"/>
      <c r="P17" s="14" t="n"/>
      <c r="Q17" s="14" t="n"/>
      <c r="R17" s="14" t="n"/>
      <c r="S17" s="14" t="n"/>
      <c r="T17" s="14" t="n"/>
      <c r="U17" s="14" t="n"/>
      <c r="V17" s="14" t="n"/>
      <c r="W17" s="14" t="n"/>
      <c r="X17" s="14" t="n"/>
      <c r="Y17" s="14" t="n"/>
    </row>
    <row r="18">
      <c r="A18" s="19" t="inlineStr">
        <is>
          <t>Extruder</t>
        </is>
      </c>
      <c r="B18" s="19" t="inlineStr">
        <is>
          <t>Complete BMG Extruder Clone</t>
        </is>
      </c>
      <c r="C18" s="19" t="n"/>
      <c r="D18" s="19" t="inlineStr">
        <is>
          <t>1</t>
        </is>
      </c>
      <c r="E18" s="19" t="inlineStr">
        <is>
          <t>All</t>
        </is>
      </c>
      <c r="F18" s="20">
        <f>HYPERLINK("https://www.bondtech.se/en/product/drivegear-kits","Bondtech")</f>
        <v/>
      </c>
      <c r="G18" s="19" t="n"/>
      <c r="H18" s="21">
        <f>HYPERLINK("https://www.filastruder.com/collections/bondtech/products/drivegear-kit","Filastruder")</f>
        <v/>
      </c>
      <c r="I18" s="19" t="n"/>
      <c r="J18" s="21">
        <f>HYPERLINK("https://s.click.aliexpress.com/e/_dY14nbA","Aliexpress (TL)")</f>
        <v/>
      </c>
      <c r="K18" s="19" t="n"/>
      <c r="L18" s="21">
        <f>HYPERLINK("https://www.aliexpress.com/item/32907327548.html","TriangleLab")</f>
        <v/>
      </c>
      <c r="M18" s="21">
        <f>HYPERLINK("https://s.click.aliexpress.com/e/5dL9AJgU","[Affiliate Link]")</f>
        <v/>
      </c>
      <c r="N18" s="21">
        <f>HYPERLINK("https://s.click.aliexpress.com/e/_AU7ik2","Aliexpress (TL)")</f>
        <v/>
      </c>
      <c r="O18" s="19" t="n"/>
      <c r="P18" s="21">
        <f>HYPERLINK("https://www.aliexpress.com/item/4000021186440.html","Aliexpress (TL)")</f>
        <v/>
      </c>
      <c r="Q18" s="21">
        <f>HYPERLINK("https://s.click.aliexpress.com/e/_Alji4k","[Affiliate Link]")</f>
        <v/>
      </c>
      <c r="R18" s="21">
        <f>HYPERLINK("https://www.aliexpress.com/item/2255799834871688.html","Aliexpress (TriangleLabs)")</f>
        <v/>
      </c>
      <c r="S18" s="21">
        <f>HYPERLINK("https://s.click.aliexpress.com/e/_dS7fWDW","TriangleLabs")</f>
        <v/>
      </c>
      <c r="T18" s="21">
        <f>HYPERLINK("https://www.aliexpress.com/item/32947193804.html","TriangleLabs")</f>
        <v/>
      </c>
      <c r="U18" s="21">
        <f>HYPERLINK("https://www.filastruder.com/products/bondtech-bmg-internals-set?_pos=1&amp;_sid=8f05bd81a&amp;_ss=r","Filastruder")</f>
        <v/>
      </c>
      <c r="V18" s="21">
        <f>HYPERLINK("https://www.printedsolid.com/products/bondtech-bmg-extruder","Printed Solid")</f>
        <v/>
      </c>
      <c r="W18" s="19" t="inlineStr">
        <is>
          <t>&lt;&lt; only the TL clones and genuine Bondtech are known to have good machining</t>
        </is>
      </c>
      <c r="X18" s="19" t="n"/>
      <c r="Y18" s="23" t="inlineStr">
        <is>
          <t>some links were dead</t>
        </is>
      </c>
    </row>
    <row r="19">
      <c r="A19" s="24" t="inlineStr">
        <is>
          <t>Electronics</t>
        </is>
      </c>
      <c r="B19" s="24" t="inlineStr">
        <is>
          <t>NEMA17 Motor 17HS19-2004S</t>
        </is>
      </c>
      <c r="C19" s="24" t="n"/>
      <c r="D19" s="24" t="inlineStr">
        <is>
          <t>1</t>
        </is>
      </c>
      <c r="E19" s="24" t="inlineStr">
        <is>
          <t>All</t>
        </is>
      </c>
      <c r="F19" s="25">
        <f>HYPERLINK("https://www.omc-stepperonline.com/nema-17-bipolar-59ncm-84oz-in-2a-42x48mm-4-wires-w-1m-cable-and-connector.html","Stepper Online")</f>
        <v/>
      </c>
      <c r="G19" s="24" t="n"/>
      <c r="H19" s="26">
        <f>HYPERLINK("https://www.omc-stepperonline.com/nema-17-bipolare-59ncm-84oz-in-2a-42x48mm-4fili-w-1m-cable-and-connector.html","Stepper Online")</f>
        <v/>
      </c>
      <c r="I19" s="24" t="n"/>
      <c r="J19" s="26">
        <f>HYPERLINK("https://www.aliexpress.com/item/32589488227.html","Stepper Online")</f>
        <v/>
      </c>
      <c r="K19" s="26">
        <f>HYPERLINK("https://s.click.aliexpress.com/e/5E5huNIu","[Affiliate Link]")</f>
        <v/>
      </c>
      <c r="L19" s="26">
        <f>HYPERLINK("https://www.amazon.com/dp/B00PNEQKC0","Amazon")</f>
        <v/>
      </c>
      <c r="M19" s="26">
        <f>HYPERLINK("https://amzn.to/325amWA","[Affiliate Link]")</f>
        <v/>
      </c>
      <c r="N19" s="26">
        <f>HYPERLINK("https://www.aliexpress.com/item/32572890101.html","Stepper Online")</f>
        <v/>
      </c>
      <c r="O19" s="26">
        <f>HYPERLINK("https://s.click.aliexpress.com/e/_9J8aJa","[Affiliate Link]")</f>
        <v/>
      </c>
      <c r="P19" s="26">
        <f>HYPERLINK("https://docs.ldomotors.com/en/voron/LDO_Voron_Distributors","LDO")</f>
        <v/>
      </c>
      <c r="Q19" s="24" t="n"/>
      <c r="R19" s="24" t="n"/>
      <c r="S19" s="24" t="n"/>
      <c r="T19" s="24" t="n"/>
      <c r="U19" s="24" t="n"/>
      <c r="V19" s="24" t="n"/>
      <c r="W19" s="24" t="n"/>
      <c r="X19" s="24" t="n"/>
      <c r="Y19" s="24" t="n"/>
    </row>
    <row r="20">
      <c r="A20" s="19" t="inlineStr">
        <is>
          <t>Vibration Management</t>
        </is>
      </c>
      <c r="B20" s="19" t="inlineStr">
        <is>
          <t>Astrosyn Dampener</t>
        </is>
      </c>
      <c r="C20" s="19" t="n"/>
      <c r="D20" s="19" t="inlineStr">
        <is>
          <t>1</t>
        </is>
      </c>
      <c r="E20" s="19" t="inlineStr">
        <is>
          <t>All</t>
        </is>
      </c>
      <c r="F20" s="20">
        <f>HYPERLINK("https://www.aliexpress.com/item/32797672879.html","linkcnc")</f>
        <v/>
      </c>
      <c r="G20" s="21">
        <f>HYPERLINK("https://s.click.aliexpress.com/e/my9o2pqC","[Affiliate Link]")</f>
        <v/>
      </c>
      <c r="H20" s="19" t="n"/>
      <c r="I20" s="19" t="n"/>
      <c r="J20" s="19" t="n"/>
      <c r="K20" s="19" t="n"/>
      <c r="L20" s="19" t="n"/>
      <c r="M20" s="19" t="n"/>
      <c r="N20" s="19" t="n"/>
      <c r="O20" s="19" t="n"/>
      <c r="P20" s="19" t="n"/>
      <c r="Q20" s="19" t="n"/>
      <c r="R20" s="19" t="n"/>
      <c r="S20" s="19" t="n"/>
      <c r="T20" s="19" t="n"/>
      <c r="U20" s="19" t="n"/>
      <c r="V20" s="19" t="n"/>
      <c r="W20" s="19" t="n"/>
      <c r="X20" s="19" t="n"/>
      <c r="Y20" s="19" t="n"/>
    </row>
    <row r="21">
      <c r="A21" s="56" t="inlineStr">
        <is>
          <t>Bowden</t>
        </is>
      </c>
      <c r="B21" s="56" t="inlineStr">
        <is>
          <t>Bowden Clip</t>
        </is>
      </c>
      <c r="C21" s="56" t="n"/>
      <c r="D21" s="56" t="inlineStr">
        <is>
          <t>2</t>
        </is>
      </c>
      <c r="E21" s="56" t="inlineStr">
        <is>
          <t>All</t>
        </is>
      </c>
      <c r="F21" s="57">
        <f>HYPERLINK("https://www.aliexpress.com/item/32892392365.html","TriangleLab")</f>
        <v/>
      </c>
      <c r="G21" s="58">
        <f>HYPERLINK("https://s.click.aliexpress.com/e/Njq3xkWG","[Affiliate Link]")</f>
        <v/>
      </c>
      <c r="H21" s="56" t="n"/>
      <c r="I21" s="56" t="n"/>
      <c r="J21" s="56" t="n"/>
      <c r="K21" s="56" t="n"/>
      <c r="L21" s="56" t="n"/>
      <c r="M21" s="56" t="n"/>
      <c r="N21" s="56" t="n"/>
      <c r="O21" s="56" t="n"/>
      <c r="P21" s="56" t="n"/>
      <c r="Q21" s="56" t="n"/>
      <c r="R21" s="56" t="n"/>
      <c r="S21" s="56" t="n"/>
      <c r="T21" s="56" t="n"/>
      <c r="U21" s="56" t="n"/>
      <c r="V21" s="56" t="n"/>
      <c r="W21" s="56" t="n"/>
      <c r="X21" s="59" t="inlineStr">
        <is>
          <t>Worth getting spares</t>
        </is>
      </c>
      <c r="Y21" s="56" t="n"/>
    </row>
    <row r="22">
      <c r="A22" s="56" t="inlineStr">
        <is>
          <t>Bowden</t>
        </is>
      </c>
      <c r="B22" s="56" t="inlineStr">
        <is>
          <t>Bowden Fitting</t>
        </is>
      </c>
      <c r="C22" s="56" t="n"/>
      <c r="D22" s="56" t="inlineStr">
        <is>
          <t>2</t>
        </is>
      </c>
      <c r="E22" s="56" t="inlineStr">
        <is>
          <t>All</t>
        </is>
      </c>
      <c r="F22" s="57">
        <f>HYPERLINK("https://s.click.aliexpress.com/e/_dZNWAU4","TriangleLab")</f>
        <v/>
      </c>
      <c r="G22" s="56" t="n"/>
      <c r="H22" s="58">
        <f>HYPERLINK("https://www.aliexpress.com/item/32934148155.html","TriangleLab")</f>
        <v/>
      </c>
      <c r="I22" s="58">
        <f>HYPERLINK("https://s.click.aliexpress.com/e/klIuTlpI","[Affiliate Link]")</f>
        <v/>
      </c>
      <c r="J22" s="56" t="n"/>
      <c r="K22" s="56" t="n"/>
      <c r="L22" s="56" t="n"/>
      <c r="M22" s="56" t="n"/>
      <c r="N22" s="56" t="n"/>
      <c r="O22" s="56" t="n"/>
      <c r="P22" s="56" t="n"/>
      <c r="Q22" s="56" t="n"/>
      <c r="R22" s="56" t="n"/>
      <c r="S22" s="56" t="n"/>
      <c r="T22" s="56" t="n"/>
      <c r="U22" s="56" t="n"/>
      <c r="V22" s="56" t="n"/>
      <c r="W22" s="56" t="n"/>
      <c r="X22" s="59" t="inlineStr">
        <is>
          <t>This is the only known source of these, buy some spares</t>
        </is>
      </c>
      <c r="Y22" s="56" t="n"/>
    </row>
    <row r="23">
      <c r="A23" s="35" t="inlineStr">
        <is>
          <t>Misc</t>
        </is>
      </c>
      <c r="B23" s="35" t="inlineStr">
        <is>
          <t>Bowden Tube</t>
        </is>
      </c>
      <c r="C23" s="35" t="n"/>
      <c r="D23" s="35" t="inlineStr">
        <is>
          <t>3m</t>
        </is>
      </c>
      <c r="E23" s="35" t="inlineStr">
        <is>
          <t>All</t>
        </is>
      </c>
      <c r="F23" s="36">
        <f>HYPERLINK("https://www.aliexpress.com/item/1005001408141263.html","Aliexpress")</f>
        <v/>
      </c>
      <c r="G23" s="39">
        <f>HYPERLINK("https://s.click.aliexpress.com/e/_AZwI9m","[Affiliate Link]")</f>
        <v/>
      </c>
      <c r="H23" s="35" t="n"/>
      <c r="I23" s="35" t="n"/>
      <c r="J23" s="35" t="n"/>
      <c r="K23" s="35" t="n"/>
      <c r="L23" s="35" t="n"/>
      <c r="M23" s="35" t="n"/>
      <c r="N23" s="35" t="n"/>
      <c r="O23" s="35" t="n"/>
      <c r="P23" s="35" t="n"/>
      <c r="Q23" s="35" t="n"/>
      <c r="R23" s="35" t="n"/>
      <c r="S23" s="35" t="n"/>
      <c r="T23" s="35" t="n"/>
      <c r="U23" s="35" t="n"/>
      <c r="V23" s="35" t="n"/>
      <c r="W23" s="35" t="n"/>
      <c r="X23" s="37" t="inlineStr">
        <is>
          <t>4mm OD, 2mm ID, get 10m of the first supplier, its cheap and is a wear item</t>
        </is>
      </c>
      <c r="Y23" s="38" t="inlineStr">
        <is>
          <t>all links were dead</t>
        </is>
      </c>
    </row>
    <row r="24">
      <c r="A24" s="35" t="inlineStr">
        <is>
          <t>Misc</t>
        </is>
      </c>
      <c r="B24" s="35" t="inlineStr">
        <is>
          <t>Needle Bearings for Bondtech Idler</t>
        </is>
      </c>
      <c r="C24" s="35" t="n"/>
      <c r="D24" s="35" t="inlineStr">
        <is>
          <t>1</t>
        </is>
      </c>
      <c r="E24" s="35" t="inlineStr">
        <is>
          <t>All</t>
        </is>
      </c>
      <c r="F24" s="36">
        <f>HYPERLINK("https://www.aliexpress.com/item/32948087238.html","Aliexpress")</f>
        <v/>
      </c>
      <c r="G24" s="39">
        <f>HYPERLINK("https://s.click.aliexpress.com/e/Fz7mYwPe","[Affiliate Link]")</f>
        <v/>
      </c>
      <c r="H24" s="35" t="n"/>
      <c r="I24" s="35" t="n"/>
      <c r="J24" s="35" t="n"/>
      <c r="K24" s="35" t="n"/>
      <c r="L24" s="35" t="n"/>
      <c r="M24" s="35" t="n"/>
      <c r="N24" s="35" t="n"/>
      <c r="O24" s="35" t="n"/>
      <c r="P24" s="35" t="n"/>
      <c r="Q24" s="35" t="n"/>
      <c r="R24" s="35" t="n"/>
      <c r="S24" s="35" t="n"/>
      <c r="T24" s="35" t="n"/>
      <c r="U24" s="35" t="n"/>
      <c r="V24" s="35" t="n"/>
      <c r="W24" s="35" t="n"/>
      <c r="X24" s="37" t="inlineStr">
        <is>
          <t>doesnt hurt to grab 1 or 2</t>
        </is>
      </c>
      <c r="Y24" s="35" t="n"/>
    </row>
    <row r="25">
      <c r="B25" s="53" t="inlineStr">
        <is>
          <t>"As an Amazon Associate we earn from qualifying purchases.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23"/>
  <sheetViews>
    <sheetView workbookViewId="0">
      <pane ySplit="1" topLeftCell="A2" activePane="bottomLeft" state="frozen"/>
      <selection pane="bottomLeft" activeCell="A1" sqref="A1"/>
    </sheetView>
  </sheetViews>
  <sheetFormatPr baseColWidth="8" defaultRowHeight="15"/>
  <cols>
    <col width="19.9" customWidth="1" min="1" max="1"/>
    <col width="34.5" customWidth="1" min="2" max="2"/>
    <col width="17.1" customWidth="1" min="3" max="3"/>
    <col width="7" customWidth="1" min="4" max="4"/>
    <col width="8.5" customWidth="1" min="5" max="5"/>
    <col width="20" customWidth="1" min="6" max="6"/>
    <col width="15" customWidth="1" min="7" max="7"/>
    <col width="20" customWidth="1" min="8" max="8"/>
    <col width="15" customWidth="1" min="9" max="9"/>
    <col width="20" customWidth="1" min="10" max="10"/>
    <col width="20" customWidth="1" min="11" max="11"/>
    <col width="15" customWidth="1" min="12" max="12"/>
    <col width="20" customWidth="1" min="13" max="13"/>
    <col width="20" customWidth="1" min="14" max="14"/>
    <col width="15" customWidth="1" min="15" max="15"/>
    <col width="20" customWidth="1" min="16" max="16"/>
    <col width="20" customWidth="1" min="17" max="17"/>
    <col width="20" customWidth="1" min="18" max="18"/>
    <col width="20" customWidth="1" min="19" max="19"/>
    <col width="20" customWidth="1" min="20" max="20"/>
    <col width="90" customWidth="1" min="21" max="21"/>
    <col width="20" customWidth="1" min="22" max="22"/>
  </cols>
  <sheetData>
    <row r="1">
      <c r="A1" s="3" t="inlineStr">
        <is>
          <t>Category</t>
        </is>
      </c>
      <c r="B1" s="3" t="inlineStr">
        <is>
          <t>Component</t>
        </is>
      </c>
      <c r="C1" s="3" t="inlineStr">
        <is>
          <t>Standard</t>
        </is>
      </c>
      <c r="D1" s="3" t="inlineStr">
        <is>
          <t>Qty</t>
        </is>
      </c>
      <c r="E1" s="3" t="inlineStr">
        <is>
          <t>Size</t>
        </is>
      </c>
      <c r="F1" s="4" t="inlineStr">
        <is>
          <t>Recommended</t>
        </is>
      </c>
      <c r="G1" s="3" t="inlineStr"/>
      <c r="H1" s="4" t="inlineStr">
        <is>
          <t>Alternative Source</t>
        </is>
      </c>
      <c r="I1" s="3" t="inlineStr"/>
      <c r="J1" s="4" t="inlineStr">
        <is>
          <t>Alternative Source 2</t>
        </is>
      </c>
      <c r="K1" s="4" t="inlineStr">
        <is>
          <t>Alternative Source 3</t>
        </is>
      </c>
      <c r="L1" s="3" t="inlineStr"/>
      <c r="M1" s="4" t="inlineStr">
        <is>
          <t>Alternative Source 4</t>
        </is>
      </c>
      <c r="N1" s="4" t="inlineStr">
        <is>
          <t>Alternative Source 5</t>
        </is>
      </c>
      <c r="O1" s="3" t="inlineStr"/>
      <c r="P1" s="4" t="inlineStr">
        <is>
          <t>Alternative Source 6</t>
        </is>
      </c>
      <c r="Q1" s="4" t="inlineStr">
        <is>
          <t>Alternative Source 7</t>
        </is>
      </c>
      <c r="R1" s="4" t="inlineStr">
        <is>
          <t>Alternative Source 8</t>
        </is>
      </c>
      <c r="S1" s="4" t="inlineStr">
        <is>
          <t>Alternative Source 9</t>
        </is>
      </c>
      <c r="T1" s="4" t="inlineStr">
        <is>
          <t>Alternative Source 10</t>
        </is>
      </c>
      <c r="U1" s="3" t="inlineStr">
        <is>
          <t>Notes</t>
        </is>
      </c>
      <c r="V1" s="3" t="inlineStr">
        <is>
          <t>Link check</t>
        </is>
      </c>
    </row>
    <row r="2">
      <c r="A2" s="9" t="inlineStr">
        <is>
          <t>Hardware</t>
        </is>
      </c>
      <c r="B2" s="9" t="inlineStr">
        <is>
          <t>M5x25 BHCS</t>
        </is>
      </c>
      <c r="C2" s="9" t="n"/>
      <c r="D2" s="9" t="inlineStr">
        <is>
          <t>2</t>
        </is>
      </c>
      <c r="E2" s="9" t="inlineStr">
        <is>
          <t>All</t>
        </is>
      </c>
      <c r="F2" s="10">
        <f>HYPERLINK("https://www.boltdepot.com/Product-Details.aspx?product=15650","Bolt Depot")</f>
        <v/>
      </c>
      <c r="G2" s="9" t="n"/>
      <c r="H2" s="11">
        <f>HYPERLINK("https://www.mcmaster.com/91239A234/","McMaster-Carr (100 pack)")</f>
        <v/>
      </c>
      <c r="I2" s="9" t="n"/>
      <c r="J2" s="9" t="n"/>
      <c r="K2" s="9" t="n"/>
      <c r="L2" s="9" t="n"/>
      <c r="M2" s="9" t="n"/>
      <c r="N2" s="9" t="n"/>
      <c r="O2" s="9" t="n"/>
      <c r="P2" s="9" t="n"/>
      <c r="Q2" s="9" t="n"/>
      <c r="R2" s="9" t="n"/>
      <c r="S2" s="9" t="n"/>
      <c r="T2" s="9" t="n"/>
      <c r="U2" s="9" t="n"/>
      <c r="V2" s="9" t="n"/>
    </row>
    <row r="3">
      <c r="A3" s="9" t="inlineStr">
        <is>
          <t>Fasteners</t>
        </is>
      </c>
      <c r="B3" s="9" t="inlineStr">
        <is>
          <t>M3x30 SHCS</t>
        </is>
      </c>
      <c r="C3" s="9" t="inlineStr">
        <is>
          <t>ISO 4762 / DIN 912</t>
        </is>
      </c>
      <c r="D3" s="9" t="inlineStr">
        <is>
          <t>1</t>
        </is>
      </c>
      <c r="E3" s="9" t="inlineStr">
        <is>
          <t>All</t>
        </is>
      </c>
      <c r="F3" s="10">
        <f>HYPERLINK("https://www.boltdepot.com/Product-Details.aspx?product=13641","Bolt Depot")</f>
        <v/>
      </c>
      <c r="G3" s="9" t="n"/>
      <c r="H3" s="11">
        <f>HYPERLINK("https://www.mcmaster.com/91290A171/","McMaster-Carr (10 pack)")</f>
        <v/>
      </c>
      <c r="I3" s="9" t="n"/>
      <c r="J3" s="9" t="n"/>
      <c r="K3" s="9" t="n"/>
      <c r="L3" s="9" t="n"/>
      <c r="M3" s="9" t="n"/>
      <c r="N3" s="9" t="n"/>
      <c r="O3" s="9" t="n"/>
      <c r="P3" s="9" t="n"/>
      <c r="Q3" s="9" t="n"/>
      <c r="R3" s="9" t="n"/>
      <c r="S3" s="9" t="n"/>
      <c r="T3" s="9" t="n"/>
      <c r="U3" s="9" t="n"/>
      <c r="V3" s="9" t="n"/>
    </row>
    <row r="4">
      <c r="A4" s="9" t="inlineStr">
        <is>
          <t>Fasteners</t>
        </is>
      </c>
      <c r="B4" s="9" t="inlineStr">
        <is>
          <t>M3x25 SHCS</t>
        </is>
      </c>
      <c r="C4" s="9" t="inlineStr">
        <is>
          <t>ISO 4762 / DIN 912</t>
        </is>
      </c>
      <c r="D4" s="9" t="inlineStr">
        <is>
          <t>2</t>
        </is>
      </c>
      <c r="E4" s="9" t="inlineStr">
        <is>
          <t>All</t>
        </is>
      </c>
      <c r="F4" s="10">
        <f>HYPERLINK("https://www.boltdepot.com/Product-Details.aspx?product=13640","Bolt Depot")</f>
        <v/>
      </c>
      <c r="G4" s="9" t="n"/>
      <c r="H4" s="11">
        <f>HYPERLINK("https://www.mcmaster.com/91290A125/","McMaster-Carr (100 pack)")</f>
        <v/>
      </c>
      <c r="I4" s="9" t="n"/>
      <c r="J4" s="9" t="n"/>
      <c r="K4" s="9" t="n"/>
      <c r="L4" s="9" t="n"/>
      <c r="M4" s="9" t="n"/>
      <c r="N4" s="9" t="n"/>
      <c r="O4" s="9" t="n"/>
      <c r="P4" s="9" t="n"/>
      <c r="Q4" s="9" t="n"/>
      <c r="R4" s="9" t="n"/>
      <c r="S4" s="9" t="n"/>
      <c r="T4" s="9" t="n"/>
      <c r="U4" s="9" t="n"/>
      <c r="V4" s="9" t="n"/>
    </row>
    <row r="5">
      <c r="A5" s="9" t="inlineStr">
        <is>
          <t>Fasteners</t>
        </is>
      </c>
      <c r="B5" s="9" t="inlineStr">
        <is>
          <t>M3x20 SHCS</t>
        </is>
      </c>
      <c r="C5" s="9" t="inlineStr">
        <is>
          <t>ISO 4762 / DIN 912</t>
        </is>
      </c>
      <c r="D5" s="9" t="inlineStr">
        <is>
          <t>5</t>
        </is>
      </c>
      <c r="E5" s="9" t="inlineStr">
        <is>
          <t>All</t>
        </is>
      </c>
      <c r="F5" s="10">
        <f>HYPERLINK("https://www.boltdepot.com/Product-Details.aspx?product=13639","Bolt Depot")</f>
        <v/>
      </c>
      <c r="G5" s="9" t="n"/>
      <c r="H5" s="11">
        <f>HYPERLINK("https://www.mcmaster.com/91290A123/","McMaster-Carr (100 pack)")</f>
        <v/>
      </c>
      <c r="I5" s="9" t="n"/>
      <c r="J5" s="9" t="n"/>
      <c r="K5" s="9" t="n"/>
      <c r="L5" s="9" t="n"/>
      <c r="M5" s="9" t="n"/>
      <c r="N5" s="9" t="n"/>
      <c r="O5" s="9" t="n"/>
      <c r="P5" s="9" t="n"/>
      <c r="Q5" s="9" t="n"/>
      <c r="R5" s="9" t="n"/>
      <c r="S5" s="9" t="n"/>
      <c r="T5" s="9" t="n"/>
      <c r="U5" s="9" t="n"/>
      <c r="V5" s="9" t="n"/>
    </row>
    <row r="6">
      <c r="A6" s="9" t="inlineStr">
        <is>
          <t>Fasteners</t>
        </is>
      </c>
      <c r="B6" s="9" t="inlineStr">
        <is>
          <t>M3x12 SHCS</t>
        </is>
      </c>
      <c r="C6" s="9" t="inlineStr">
        <is>
          <t>ISO 4762 / DIN 912</t>
        </is>
      </c>
      <c r="D6" s="9" t="inlineStr">
        <is>
          <t>1</t>
        </is>
      </c>
      <c r="E6" s="9" t="inlineStr">
        <is>
          <t>All</t>
        </is>
      </c>
      <c r="F6" s="10">
        <f>HYPERLINK("https://www.boltdepot.com/Product-Details.aspx?product=13637","Bolt Depot")</f>
        <v/>
      </c>
      <c r="G6" s="9" t="n"/>
      <c r="H6" s="11">
        <f>HYPERLINK("https://www.mcmaster.com/91290A117/","McMaster-Carr (100 pack)")</f>
        <v/>
      </c>
      <c r="I6" s="9" t="n"/>
      <c r="J6" s="9" t="n"/>
      <c r="K6" s="9" t="n"/>
      <c r="L6" s="9" t="n"/>
      <c r="M6" s="9" t="n"/>
      <c r="N6" s="9" t="n"/>
      <c r="O6" s="9" t="n"/>
      <c r="P6" s="9" t="n"/>
      <c r="Q6" s="9" t="n"/>
      <c r="R6" s="9" t="n"/>
      <c r="S6" s="9" t="n"/>
      <c r="T6" s="9" t="n"/>
      <c r="U6" s="9" t="n"/>
      <c r="V6" s="9" t="n"/>
    </row>
    <row r="7">
      <c r="A7" s="9" t="inlineStr">
        <is>
          <t>Fasteners</t>
        </is>
      </c>
      <c r="B7" s="9" t="inlineStr">
        <is>
          <t>M3x8 SHCS</t>
        </is>
      </c>
      <c r="C7" s="9" t="inlineStr">
        <is>
          <t>ISO 4762 / DIN 912</t>
        </is>
      </c>
      <c r="D7" s="9" t="inlineStr">
        <is>
          <t>2</t>
        </is>
      </c>
      <c r="E7" s="9" t="inlineStr">
        <is>
          <t>All</t>
        </is>
      </c>
      <c r="F7" s="10">
        <f>HYPERLINK("https://www.boltdepot.com/Product-Details.aspx?product=13635","Bolt Depot")</f>
        <v/>
      </c>
      <c r="G7" s="9" t="n"/>
      <c r="H7" s="11">
        <f>HYPERLINK("https://www.boltdepot.com/Product-Details.aspx?product=13633","Bolt Depot")</f>
        <v/>
      </c>
      <c r="I7" s="9" t="n"/>
      <c r="J7" s="11">
        <f>HYPERLINK("https://www.mcmaster.com/91290A113/","McMaster-Carr (100 pack)")</f>
        <v/>
      </c>
      <c r="K7" s="9" t="n"/>
      <c r="L7" s="9" t="n"/>
      <c r="M7" s="9" t="n"/>
      <c r="N7" s="9" t="n"/>
      <c r="O7" s="9" t="n"/>
      <c r="P7" s="9" t="n"/>
      <c r="Q7" s="9" t="n"/>
      <c r="R7" s="9" t="n"/>
      <c r="S7" s="9" t="n"/>
      <c r="T7" s="9" t="n"/>
      <c r="U7" s="9" t="n"/>
      <c r="V7" s="9" t="n"/>
    </row>
    <row r="8">
      <c r="A8" s="9" t="inlineStr">
        <is>
          <t>Hardware</t>
        </is>
      </c>
      <c r="B8" s="9" t="inlineStr">
        <is>
          <t>M3 Hexnut</t>
        </is>
      </c>
      <c r="C8" s="9" t="inlineStr">
        <is>
          <t>ISO 4033 / DIN 934</t>
        </is>
      </c>
      <c r="D8" s="9" t="inlineStr">
        <is>
          <t>5</t>
        </is>
      </c>
      <c r="E8" s="9" t="inlineStr">
        <is>
          <t>All</t>
        </is>
      </c>
      <c r="F8" s="10">
        <f>HYPERLINK("https://www.boltdepot.com/Product-Details.aspx?product=4783","Bolt Depot")</f>
        <v/>
      </c>
      <c r="G8" s="9" t="n"/>
      <c r="H8" s="11">
        <f>HYPERLINK("https://www.boltdepot.com/Metric_hex_nuts_Stainless_steel_18-8_(A-2).aspx","Bolt Depot")</f>
        <v/>
      </c>
      <c r="I8" s="9" t="n"/>
      <c r="J8" s="11">
        <f>HYPERLINK("https://www.mcmaster.com/90591A250/","McMaster-Carr (100 pack)")</f>
        <v/>
      </c>
      <c r="K8" s="11">
        <f>HYPERLINK("https://www.aliexpress.com/item/32977174437.html","Aliexpress")</f>
        <v/>
      </c>
      <c r="L8" s="9" t="n"/>
      <c r="M8" s="9" t="n"/>
      <c r="N8" s="9" t="n"/>
      <c r="O8" s="9" t="n"/>
      <c r="P8" s="9" t="n"/>
      <c r="Q8" s="9" t="n"/>
      <c r="R8" s="9" t="n"/>
      <c r="S8" s="9" t="n"/>
      <c r="T8" s="9" t="n"/>
      <c r="U8" s="9" t="n"/>
      <c r="V8" s="9" t="n"/>
    </row>
    <row r="9">
      <c r="A9" s="9" t="inlineStr">
        <is>
          <t>Fasteners</t>
        </is>
      </c>
      <c r="B9" s="9" t="inlineStr">
        <is>
          <t>M3 Locknut</t>
        </is>
      </c>
      <c r="C9" s="9" t="inlineStr">
        <is>
          <t>DIN 985</t>
        </is>
      </c>
      <c r="D9" s="9" t="inlineStr">
        <is>
          <t>1</t>
        </is>
      </c>
      <c r="E9" s="9" t="inlineStr">
        <is>
          <t>All</t>
        </is>
      </c>
      <c r="F9" s="10">
        <f>HYPERLINK("https://www.boltdepot.com/Product-Details.aspx?product=4370","Bolt Depot")</f>
        <v/>
      </c>
      <c r="G9" s="9" t="n"/>
      <c r="H9" s="11">
        <f>HYPERLINK("https://www.boltdepot.com/Product-Details.aspx?product=4792","Bolt Depot")</f>
        <v/>
      </c>
      <c r="I9" s="9" t="n"/>
      <c r="J9" s="11">
        <f>HYPERLINK("https://www.mcmaster.com/90576A102/","McMaster-Carr (100 pack)")</f>
        <v/>
      </c>
      <c r="K9" s="11">
        <f>HYPERLINK("https://www.aliexpress.com/item/32988995881.html","Aliexpress")</f>
        <v/>
      </c>
      <c r="L9" s="9" t="n"/>
      <c r="M9" s="11">
        <f>HYPERLINK("https://www.amazon.com/dp/B07BD24MXV","Amazon")</f>
        <v/>
      </c>
      <c r="N9" s="11">
        <f>HYPERLINK("https://www.mcmaster.com/93625A100/","McMaster-Carr (100 pack)")</f>
        <v/>
      </c>
      <c r="O9" s="9" t="n"/>
      <c r="P9" s="9" t="n"/>
      <c r="Q9" s="9" t="n"/>
      <c r="R9" s="9" t="n"/>
      <c r="S9" s="9" t="n"/>
      <c r="T9" s="9" t="n"/>
      <c r="U9" s="9" t="n"/>
      <c r="V9" s="9" t="n"/>
    </row>
    <row r="10">
      <c r="A10" s="9" t="inlineStr">
        <is>
          <t>Hardware</t>
        </is>
      </c>
      <c r="B10" s="9" t="inlineStr">
        <is>
          <t>M3x6mm Set Screw</t>
        </is>
      </c>
      <c r="C10" s="9" t="n"/>
      <c r="D10" s="9" t="inlineStr">
        <is>
          <t>4</t>
        </is>
      </c>
      <c r="E10" s="9" t="inlineStr">
        <is>
          <t>All</t>
        </is>
      </c>
      <c r="F10" s="10">
        <f>HYPERLINK("https://www.boltdepot.com/Product-Details.aspx?product=8828","Bolt Depot")</f>
        <v/>
      </c>
      <c r="G10" s="9" t="n"/>
      <c r="H10" s="11">
        <f>HYPERLINK("https://www.mcmaster.com/91390A100/","McMaster-Carr (100 pack)")</f>
        <v/>
      </c>
      <c r="I10" s="9" t="n"/>
      <c r="J10" s="9" t="n"/>
      <c r="K10" s="9" t="n"/>
      <c r="L10" s="9" t="n"/>
      <c r="M10" s="9" t="n"/>
      <c r="N10" s="9" t="n"/>
      <c r="O10" s="9" t="n"/>
      <c r="P10" s="9" t="n"/>
      <c r="Q10" s="9" t="n"/>
      <c r="R10" s="9" t="n"/>
      <c r="S10" s="9" t="n"/>
      <c r="T10" s="9" t="n"/>
      <c r="U10" s="9" t="n"/>
      <c r="V10" s="12" t="inlineStr">
        <is>
          <t>some links were dead</t>
        </is>
      </c>
    </row>
    <row r="11">
      <c r="A11" s="9" t="inlineStr">
        <is>
          <t>Hardware</t>
        </is>
      </c>
      <c r="B11" s="9" t="inlineStr">
        <is>
          <t>M2x8mm Self Tapping Screw</t>
        </is>
      </c>
      <c r="C11" s="9" t="n"/>
      <c r="D11" s="9" t="inlineStr">
        <is>
          <t>1</t>
        </is>
      </c>
      <c r="E11" s="9" t="inlineStr">
        <is>
          <t>All</t>
        </is>
      </c>
      <c r="F11" s="10">
        <f>HYPERLINK("https://www.mcmaster.com/99397A264/","McMaster-Carr (50 pack)")</f>
        <v/>
      </c>
      <c r="G11" s="9" t="n"/>
      <c r="H11" s="9" t="n"/>
      <c r="I11" s="9" t="n"/>
      <c r="J11" s="9" t="n"/>
      <c r="K11" s="9" t="n"/>
      <c r="L11" s="9" t="n"/>
      <c r="M11" s="9" t="n"/>
      <c r="N11" s="9" t="n"/>
      <c r="O11" s="9" t="n"/>
      <c r="P11" s="9" t="n"/>
      <c r="Q11" s="9" t="n"/>
      <c r="R11" s="9" t="n"/>
      <c r="S11" s="9" t="n"/>
      <c r="T11" s="9" t="n"/>
      <c r="U11" s="9" t="n"/>
      <c r="V11" s="12" t="inlineStr">
        <is>
          <t>some links were dead</t>
        </is>
      </c>
    </row>
    <row r="12">
      <c r="A12" s="14" t="inlineStr">
        <is>
          <t>Motion</t>
        </is>
      </c>
      <c r="B12" s="14" t="inlineStr">
        <is>
          <t>5mm x 45mm Shaft - Grind Flat</t>
        </is>
      </c>
      <c r="C12" s="14" t="n"/>
      <c r="D12" s="14" t="inlineStr">
        <is>
          <t>1</t>
        </is>
      </c>
      <c r="E12" s="14" t="inlineStr">
        <is>
          <t>All</t>
        </is>
      </c>
      <c r="F12" s="15">
        <f>HYPERLINK("https://www.aliexpress.com/item/1739093502.html","linkcnc (Aliexpress)")</f>
        <v/>
      </c>
      <c r="G12" s="14" t="n"/>
      <c r="H12" s="14" t="n"/>
      <c r="I12" s="14" t="n"/>
      <c r="J12" s="14" t="n"/>
      <c r="K12" s="14" t="n"/>
      <c r="L12" s="14" t="n"/>
      <c r="M12" s="14" t="n"/>
      <c r="N12" s="14" t="n"/>
      <c r="O12" s="14" t="n"/>
      <c r="P12" s="14" t="n"/>
      <c r="Q12" s="14" t="n"/>
      <c r="R12" s="14" t="n"/>
      <c r="S12" s="14" t="n"/>
      <c r="T12" s="14" t="n"/>
      <c r="U12" s="14" t="n"/>
      <c r="V12" s="14" t="n"/>
    </row>
    <row r="13">
      <c r="A13" s="14" t="inlineStr">
        <is>
          <t>Motion</t>
        </is>
      </c>
      <c r="B13" s="14" t="inlineStr">
        <is>
          <t>GT2 Belt Loop (6mm wide) - 150mm</t>
        </is>
      </c>
      <c r="C13" s="14" t="n"/>
      <c r="D13" s="14" t="inlineStr">
        <is>
          <t>1</t>
        </is>
      </c>
      <c r="E13" s="14" t="inlineStr">
        <is>
          <t>All</t>
        </is>
      </c>
      <c r="F13" s="15">
        <f>HYPERLINK("https://www.aliexpress.com/item/1837021682.html","POWGE (Aliexpress)")</f>
        <v/>
      </c>
      <c r="G13" s="14" t="n"/>
      <c r="H13" s="14" t="n"/>
      <c r="I13" s="14" t="n"/>
      <c r="J13" s="14" t="n"/>
      <c r="K13" s="14" t="n"/>
      <c r="L13" s="14" t="n"/>
      <c r="M13" s="14" t="n"/>
      <c r="N13" s="14" t="n"/>
      <c r="O13" s="14" t="n"/>
      <c r="P13" s="14" t="n"/>
      <c r="Q13" s="14" t="n"/>
      <c r="R13" s="14" t="n"/>
      <c r="S13" s="14" t="n"/>
      <c r="T13" s="14" t="n"/>
      <c r="U13" s="14" t="n"/>
      <c r="V13" s="14" t="n"/>
    </row>
    <row r="14">
      <c r="A14" s="14" t="inlineStr">
        <is>
          <t>Motion</t>
        </is>
      </c>
      <c r="B14" s="14" t="inlineStr">
        <is>
          <t>GT2 16T (6mm wide) Pulley (5mm bore)</t>
        </is>
      </c>
      <c r="C14" s="14" t="n"/>
      <c r="D14" s="14" t="inlineStr">
        <is>
          <t>2</t>
        </is>
      </c>
      <c r="E14" s="14" t="inlineStr">
        <is>
          <t>All</t>
        </is>
      </c>
      <c r="F14" s="15">
        <f>HYPERLINK("https://www.aliexpress.com/item/1744808992.html","POWGE")</f>
        <v/>
      </c>
      <c r="G14" s="16">
        <f>HYPERLINK("https://s.click.aliexpress.com/e/eA5u8X6Y","[Affiliate Link]")</f>
        <v/>
      </c>
      <c r="H14" s="14" t="n"/>
      <c r="I14" s="14" t="n"/>
      <c r="J14" s="14" t="n"/>
      <c r="K14" s="14" t="n"/>
      <c r="L14" s="14" t="n"/>
      <c r="M14" s="14" t="n"/>
      <c r="N14" s="14" t="n"/>
      <c r="O14" s="14" t="n"/>
      <c r="P14" s="14" t="n"/>
      <c r="Q14" s="14" t="n"/>
      <c r="R14" s="14" t="n"/>
      <c r="S14" s="14" t="n"/>
      <c r="T14" s="14" t="n"/>
      <c r="U14" s="14" t="n"/>
      <c r="V14" s="14" t="n"/>
    </row>
    <row r="15">
      <c r="A15" s="14" t="inlineStr">
        <is>
          <t>Motion</t>
        </is>
      </c>
      <c r="B15" s="14" t="inlineStr">
        <is>
          <t>MR115-2RS Bearing</t>
        </is>
      </c>
      <c r="C15" s="14" t="n"/>
      <c r="D15" s="14" t="inlineStr">
        <is>
          <t>3</t>
        </is>
      </c>
      <c r="E15" s="14" t="inlineStr">
        <is>
          <t>All</t>
        </is>
      </c>
      <c r="F15" s="15">
        <f>HYPERLINK("https://www.aliexpress.com/item/32955249477.html","Fushi (Aliexpress)")</f>
        <v/>
      </c>
      <c r="G15" s="14" t="n"/>
      <c r="H15" s="14" t="n"/>
      <c r="I15" s="14" t="n"/>
      <c r="J15" s="14" t="n"/>
      <c r="K15" s="14" t="n"/>
      <c r="L15" s="14" t="n"/>
      <c r="M15" s="14" t="n"/>
      <c r="N15" s="14" t="n"/>
      <c r="O15" s="14" t="n"/>
      <c r="P15" s="14" t="n"/>
      <c r="Q15" s="14" t="n"/>
      <c r="R15" s="14" t="n"/>
      <c r="S15" s="14" t="n"/>
      <c r="T15" s="14" t="n"/>
      <c r="U15" s="14" t="n"/>
      <c r="V15" s="18" t="inlineStr">
        <is>
          <t>some links were dead</t>
        </is>
      </c>
    </row>
    <row r="16">
      <c r="A16" s="14" t="inlineStr">
        <is>
          <t>Motion</t>
        </is>
      </c>
      <c r="B16" s="14" t="inlineStr">
        <is>
          <t>MR128-2RS Bearing</t>
        </is>
      </c>
      <c r="C16" s="14" t="n"/>
      <c r="D16" s="14" t="inlineStr">
        <is>
          <t>1</t>
        </is>
      </c>
      <c r="E16" s="14" t="inlineStr">
        <is>
          <t>All</t>
        </is>
      </c>
      <c r="F16" s="14" t="n"/>
      <c r="G16" s="14" t="n"/>
      <c r="H16" s="14" t="n"/>
      <c r="I16" s="14" t="n"/>
      <c r="J16" s="14" t="n"/>
      <c r="K16" s="14" t="n"/>
      <c r="L16" s="14" t="n"/>
      <c r="M16" s="14" t="n"/>
      <c r="N16" s="14" t="n"/>
      <c r="O16" s="14" t="n"/>
      <c r="P16" s="14" t="n"/>
      <c r="Q16" s="14" t="n"/>
      <c r="R16" s="14" t="n"/>
      <c r="S16" s="14" t="n"/>
      <c r="T16" s="14" t="n"/>
      <c r="U16" s="14" t="n"/>
      <c r="V16" s="18" t="inlineStr">
        <is>
          <t>all links were dead</t>
        </is>
      </c>
    </row>
    <row r="17">
      <c r="A17" s="19" t="inlineStr">
        <is>
          <t>Extruder</t>
        </is>
      </c>
      <c r="B17" s="19" t="inlineStr">
        <is>
          <t>Complete BMG Extruder Clone</t>
        </is>
      </c>
      <c r="C17" s="19" t="n"/>
      <c r="D17" s="19" t="inlineStr">
        <is>
          <t>1</t>
        </is>
      </c>
      <c r="E17" s="19" t="inlineStr">
        <is>
          <t>All</t>
        </is>
      </c>
      <c r="F17" s="20">
        <f>HYPERLINK("https://www.bondtech.se/en/product/drivegear-kits","Bondtech")</f>
        <v/>
      </c>
      <c r="G17" s="19" t="n"/>
      <c r="H17" s="21">
        <f>HYPERLINK("https://www.filastruder.com/collections/bondtech/products/drivegear-kit","Filastruder")</f>
        <v/>
      </c>
      <c r="I17" s="19" t="n"/>
      <c r="J17" s="21">
        <f>HYPERLINK("https://s.click.aliexpress.com/e/_dY14nbA","Aliexpress (TL)")</f>
        <v/>
      </c>
      <c r="K17" s="21">
        <f>HYPERLINK("https://www.aliexpress.com/item/32907327548.html","TriangleLab")</f>
        <v/>
      </c>
      <c r="L17" s="21">
        <f>HYPERLINK("https://s.click.aliexpress.com/e/5dL9AJgU","[Affiliate Link]")</f>
        <v/>
      </c>
      <c r="M17" s="21">
        <f>HYPERLINK("https://s.click.aliexpress.com/e/_AU7ik2","Aliexpress (TL)")</f>
        <v/>
      </c>
      <c r="N17" s="21">
        <f>HYPERLINK("https://www.aliexpress.com/item/4000021186440.html","Aliexpress (TL)")</f>
        <v/>
      </c>
      <c r="O17" s="21">
        <f>HYPERLINK("https://s.click.aliexpress.com/e/_Alji4k","[Affiliate Link]")</f>
        <v/>
      </c>
      <c r="P17" s="21">
        <f>HYPERLINK("https://www.aliexpress.com/item/2255799834871688.html","Aliexpress (TriangleLabs)")</f>
        <v/>
      </c>
      <c r="Q17" s="21">
        <f>HYPERLINK("https://s.click.aliexpress.com/e/_dS7fWDW","TriangleLabs")</f>
        <v/>
      </c>
      <c r="R17" s="21">
        <f>HYPERLINK("https://www.aliexpress.com/item/32947193804.html","TriangleLabs")</f>
        <v/>
      </c>
      <c r="S17" s="21">
        <f>HYPERLINK("https://www.filastruder.com/products/bondtech-bmg-internals-set?_pos=1&amp;_sid=8f05bd81a&amp;_ss=r","Filastruder")</f>
        <v/>
      </c>
      <c r="T17" s="21">
        <f>HYPERLINK("https://www.printedsolid.com/products/bondtech-bmg-extruder","Printed Solid")</f>
        <v/>
      </c>
      <c r="U17" s="19" t="n"/>
      <c r="V17" s="19" t="n"/>
    </row>
    <row r="18">
      <c r="A18" s="14" t="inlineStr">
        <is>
          <t>Motion</t>
        </is>
      </c>
      <c r="B18" s="14" t="inlineStr">
        <is>
          <t>Extruder Spring</t>
        </is>
      </c>
      <c r="C18" s="14" t="n"/>
      <c r="D18" s="14" t="inlineStr">
        <is>
          <t>1</t>
        </is>
      </c>
      <c r="E18" s="14" t="inlineStr">
        <is>
          <t>All</t>
        </is>
      </c>
      <c r="F18" s="15">
        <f>HYPERLINK("https://www.aliexpress.com/item/32811213869.html","TriangleLab (Aliexpress)")</f>
        <v/>
      </c>
      <c r="G18" s="14" t="n"/>
      <c r="H18" s="14" t="n"/>
      <c r="I18" s="14" t="n"/>
      <c r="J18" s="14" t="n"/>
      <c r="K18" s="14" t="n"/>
      <c r="L18" s="14" t="n"/>
      <c r="M18" s="14" t="n"/>
      <c r="N18" s="14" t="n"/>
      <c r="O18" s="14" t="n"/>
      <c r="P18" s="14" t="n"/>
      <c r="Q18" s="14" t="n"/>
      <c r="R18" s="14" t="n"/>
      <c r="S18" s="14" t="n"/>
      <c r="T18" s="14" t="n"/>
      <c r="U18" s="14" t="n"/>
      <c r="V18" s="14" t="n"/>
    </row>
    <row r="19">
      <c r="A19" s="24" t="inlineStr">
        <is>
          <t>Electronics</t>
        </is>
      </c>
      <c r="B19" s="24" t="inlineStr">
        <is>
          <t>NEMA17 Motor 17HS08-1004S</t>
        </is>
      </c>
      <c r="C19" s="24" t="n"/>
      <c r="D19" s="24" t="inlineStr">
        <is>
          <t>1</t>
        </is>
      </c>
      <c r="E19" s="24" t="inlineStr">
        <is>
          <t>All</t>
        </is>
      </c>
      <c r="F19" s="25">
        <f>HYPERLINK("https://www.aliexpress.com/item/32585429251.html","Aliexpress")</f>
        <v/>
      </c>
      <c r="G19" s="26">
        <f>HYPERLINK("https://s.click.aliexpress.com/e/_9RQa9O","[Affiliate Link]")</f>
        <v/>
      </c>
      <c r="H19" s="26">
        <f>HYPERLINK("https://www.omc-stepperonline.com/nema-17-stepper-motor/nema-17-bipolar-1-8deg-16ncm-22-6oz-in-1a-3-7v-42x42x20mm-4-wires.html","Stepper Online")</f>
        <v/>
      </c>
      <c r="I19" s="24" t="n"/>
      <c r="J19" s="26">
        <f>HYPERLINK("https://www.omc-stepperonline.com/nema-17-bipolar-1-8deg-16ncm-22-6oz-in-1a-3-7v-42x42x20mm-4-wires.html","Stepper Online")</f>
        <v/>
      </c>
      <c r="K19" s="26">
        <f>HYPERLINK("https://docs.ldomotors.com/en/voron/LDO_Voron_Distributors","LDO")</f>
        <v/>
      </c>
      <c r="L19" s="24" t="n"/>
      <c r="M19" s="24" t="n"/>
      <c r="N19" s="24" t="n"/>
      <c r="O19" s="24" t="n"/>
      <c r="P19" s="24" t="n"/>
      <c r="Q19" s="24" t="n"/>
      <c r="R19" s="24" t="n"/>
      <c r="S19" s="24" t="n"/>
      <c r="T19" s="24" t="n"/>
      <c r="U19" s="24" t="n"/>
      <c r="V19" s="24" t="n"/>
    </row>
    <row r="20">
      <c r="A20" s="56" t="inlineStr">
        <is>
          <t>Bowden</t>
        </is>
      </c>
      <c r="B20" s="56" t="inlineStr">
        <is>
          <t>Bowden Fitting</t>
        </is>
      </c>
      <c r="C20" s="56" t="n"/>
      <c r="D20" s="56" t="inlineStr">
        <is>
          <t>1</t>
        </is>
      </c>
      <c r="E20" s="56" t="inlineStr">
        <is>
          <t>All</t>
        </is>
      </c>
      <c r="F20" s="57">
        <f>HYPERLINK("https://s.click.aliexpress.com/e/_dZNWAU4","TriangleLab")</f>
        <v/>
      </c>
      <c r="G20" s="56" t="n"/>
      <c r="H20" s="58">
        <f>HYPERLINK("https://www.aliexpress.com/item/32934148155.html","TriangleLab")</f>
        <v/>
      </c>
      <c r="I20" s="58">
        <f>HYPERLINK("https://s.click.aliexpress.com/e/klIuTlpI","[Affiliate Link]")</f>
        <v/>
      </c>
      <c r="J20" s="56" t="n"/>
      <c r="K20" s="56" t="n"/>
      <c r="L20" s="56" t="n"/>
      <c r="M20" s="56" t="n"/>
      <c r="N20" s="56" t="n"/>
      <c r="O20" s="56" t="n"/>
      <c r="P20" s="56" t="n"/>
      <c r="Q20" s="56" t="n"/>
      <c r="R20" s="56" t="n"/>
      <c r="S20" s="56" t="n"/>
      <c r="T20" s="56" t="n"/>
      <c r="U20" s="56" t="n"/>
      <c r="V20" s="56" t="n"/>
    </row>
    <row r="21">
      <c r="A21" s="35" t="inlineStr">
        <is>
          <t>Misc</t>
        </is>
      </c>
      <c r="B21" s="35" t="inlineStr">
        <is>
          <t>Bowden Tube (4mm OD, 2mm ID)</t>
        </is>
      </c>
      <c r="C21" s="35" t="n"/>
      <c r="D21" s="35" t="inlineStr">
        <is>
          <t>3m</t>
        </is>
      </c>
      <c r="E21" s="35" t="inlineStr">
        <is>
          <t>All</t>
        </is>
      </c>
      <c r="F21" s="35" t="n"/>
      <c r="G21" s="35" t="n"/>
      <c r="H21" s="35" t="n"/>
      <c r="I21" s="35" t="n"/>
      <c r="J21" s="35" t="n"/>
      <c r="K21" s="35" t="n"/>
      <c r="L21" s="35" t="n"/>
      <c r="M21" s="35" t="n"/>
      <c r="N21" s="35" t="n"/>
      <c r="O21" s="35" t="n"/>
      <c r="P21" s="35" t="n"/>
      <c r="Q21" s="35" t="n"/>
      <c r="R21" s="35" t="n"/>
      <c r="S21" s="35" t="n"/>
      <c r="T21" s="35" t="n"/>
      <c r="U21" s="35" t="n"/>
      <c r="V21" s="38" t="inlineStr">
        <is>
          <t>all links were dead</t>
        </is>
      </c>
    </row>
    <row r="22">
      <c r="A22" s="56" t="inlineStr">
        <is>
          <t>Bowden</t>
        </is>
      </c>
      <c r="B22" s="56" t="inlineStr">
        <is>
          <t>Bowden Tube 4mm OD/3mm ID</t>
        </is>
      </c>
      <c r="C22" s="56" t="n"/>
      <c r="D22" s="56" t="inlineStr">
        <is>
          <t>3m</t>
        </is>
      </c>
      <c r="E22" s="56" t="inlineStr">
        <is>
          <t>All</t>
        </is>
      </c>
      <c r="F22" s="56" t="n"/>
      <c r="G22" s="56" t="n"/>
      <c r="H22" s="56" t="n"/>
      <c r="I22" s="56" t="n"/>
      <c r="J22" s="56" t="n"/>
      <c r="K22" s="56" t="n"/>
      <c r="L22" s="56" t="n"/>
      <c r="M22" s="56" t="n"/>
      <c r="N22" s="56" t="n"/>
      <c r="O22" s="56" t="n"/>
      <c r="P22" s="56" t="n"/>
      <c r="Q22" s="56" t="n"/>
      <c r="R22" s="56" t="n"/>
      <c r="S22" s="56" t="n"/>
      <c r="T22" s="56" t="n"/>
      <c r="U22" s="56" t="n"/>
      <c r="V22" s="69" t="inlineStr">
        <is>
          <t>all links were dead</t>
        </is>
      </c>
    </row>
    <row r="23">
      <c r="A23" s="35" t="inlineStr">
        <is>
          <t>Misc</t>
        </is>
      </c>
      <c r="B23" s="35" t="inlineStr">
        <is>
          <t>John Guest Bowden Coupling (1/8" BSPP, 4mm Tubing)</t>
        </is>
      </c>
      <c r="C23" s="35" t="n"/>
      <c r="D23" s="35" t="inlineStr">
        <is>
          <t>1</t>
        </is>
      </c>
      <c r="E23" s="35" t="inlineStr">
        <is>
          <t>All</t>
        </is>
      </c>
      <c r="F23" s="36">
        <f>HYPERLINK("https://www.filastruder.com/products/bowden-couplings-all-types?variant=21285997380","Filastruder")</f>
        <v/>
      </c>
      <c r="G23" s="35" t="n"/>
      <c r="H23" s="35" t="n"/>
      <c r="I23" s="35" t="n"/>
      <c r="J23" s="35" t="n"/>
      <c r="K23" s="35" t="n"/>
      <c r="L23" s="35" t="n"/>
      <c r="M23" s="35" t="n"/>
      <c r="N23" s="35" t="n"/>
      <c r="O23" s="35" t="n"/>
      <c r="P23" s="35" t="n"/>
      <c r="Q23" s="35" t="n"/>
      <c r="R23" s="35" t="n"/>
      <c r="S23" s="35" t="n"/>
      <c r="T23" s="35" t="n"/>
      <c r="U23" s="35" t="n"/>
      <c r="V23" s="38" t="inlineStr">
        <is>
          <t>some links were dead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84"/>
  <sheetViews>
    <sheetView workbookViewId="0">
      <pane ySplit="1" topLeftCell="A2" activePane="bottomLeft" state="frozen"/>
      <selection pane="bottomLeft" activeCell="A1" sqref="A1"/>
    </sheetView>
  </sheetViews>
  <sheetFormatPr baseColWidth="8" defaultRowHeight="15"/>
  <cols>
    <col width="19.9" customWidth="1" min="1" max="1"/>
    <col width="34.5" customWidth="1" min="2" max="2"/>
    <col width="17.1" customWidth="1" min="3" max="3"/>
    <col width="7" customWidth="1" min="4" max="4"/>
    <col width="8.5" customWidth="1" min="5" max="5"/>
    <col width="20" customWidth="1" min="6" max="6"/>
    <col width="15" customWidth="1" min="7" max="7"/>
    <col width="20" customWidth="1" min="8" max="8"/>
    <col width="15" customWidth="1" min="9" max="9"/>
    <col width="20" customWidth="1" min="10" max="10"/>
    <col width="20" customWidth="1" min="11" max="11"/>
    <col width="15" customWidth="1" min="12" max="12"/>
    <col width="20" customWidth="1" min="13" max="13"/>
    <col width="20" customWidth="1" min="14" max="14"/>
    <col width="15" customWidth="1" min="15" max="15"/>
    <col width="20" customWidth="1" min="16" max="16"/>
    <col width="20" customWidth="1" min="17" max="17"/>
    <col width="20" customWidth="1" min="18" max="18"/>
    <col width="20" customWidth="1" min="19" max="19"/>
    <col width="20" customWidth="1" min="20" max="20"/>
    <col width="90" customWidth="1" min="21" max="21"/>
    <col width="20" customWidth="1" min="22" max="22"/>
  </cols>
  <sheetData>
    <row r="1">
      <c r="A1" s="3" t="inlineStr">
        <is>
          <t>Category</t>
        </is>
      </c>
      <c r="B1" s="3" t="inlineStr">
        <is>
          <t>Component</t>
        </is>
      </c>
      <c r="C1" s="3" t="inlineStr">
        <is>
          <t>Standard</t>
        </is>
      </c>
      <c r="D1" s="3" t="inlineStr">
        <is>
          <t>Qty</t>
        </is>
      </c>
      <c r="E1" s="3" t="inlineStr">
        <is>
          <t>Size</t>
        </is>
      </c>
      <c r="F1" s="4" t="inlineStr">
        <is>
          <t>Recommended</t>
        </is>
      </c>
      <c r="G1" s="3" t="inlineStr"/>
      <c r="H1" s="4" t="inlineStr">
        <is>
          <t>Alternative Source</t>
        </is>
      </c>
      <c r="I1" s="3" t="inlineStr"/>
      <c r="J1" s="4" t="inlineStr">
        <is>
          <t>Alternative Source 2</t>
        </is>
      </c>
      <c r="K1" s="4" t="inlineStr">
        <is>
          <t>Alternative Source 3</t>
        </is>
      </c>
      <c r="L1" s="3" t="inlineStr"/>
      <c r="M1" s="4" t="inlineStr">
        <is>
          <t>Alternative Source 4</t>
        </is>
      </c>
      <c r="N1" s="4" t="inlineStr">
        <is>
          <t>Alternative Source 5</t>
        </is>
      </c>
      <c r="O1" s="3" t="inlineStr"/>
      <c r="P1" s="4" t="inlineStr">
        <is>
          <t>Alternative Source 6</t>
        </is>
      </c>
      <c r="Q1" s="4" t="inlineStr">
        <is>
          <t>Alternative Source 7</t>
        </is>
      </c>
      <c r="R1" s="4" t="inlineStr">
        <is>
          <t>Alternative Source 8</t>
        </is>
      </c>
      <c r="S1" s="4" t="inlineStr">
        <is>
          <t>Alternative Source 9</t>
        </is>
      </c>
      <c r="T1" s="4" t="inlineStr">
        <is>
          <t>Alternative Source 10</t>
        </is>
      </c>
      <c r="U1" s="3" t="inlineStr">
        <is>
          <t>Notes</t>
        </is>
      </c>
      <c r="V1" s="3" t="inlineStr">
        <is>
          <t>Link check</t>
        </is>
      </c>
    </row>
    <row r="2">
      <c r="A2" s="9" t="inlineStr">
        <is>
          <t>Hardware</t>
        </is>
      </c>
      <c r="B2" s="9" t="inlineStr">
        <is>
          <t>3x7x0.5 Shim Ring (3mm ID, 7 mm OD)</t>
        </is>
      </c>
      <c r="C2" s="9" t="inlineStr">
        <is>
          <t>DIN988</t>
        </is>
      </c>
      <c r="D2" s="9" t="inlineStr">
        <is>
          <t>26</t>
        </is>
      </c>
      <c r="E2" s="9" t="inlineStr">
        <is>
          <t>All</t>
        </is>
      </c>
      <c r="F2" s="10">
        <f>HYPERLINK("https://s.click.aliexpress.com/e/_dUjNx0o","Aliexpress")</f>
        <v/>
      </c>
      <c r="G2" s="9" t="n"/>
      <c r="H2" s="11">
        <f>HYPERLINK("https://s.click.aliexpress.com/e/_Bf9nOYLc","Aliexpress")</f>
        <v/>
      </c>
      <c r="I2" s="9" t="n"/>
      <c r="J2" s="11">
        <f>HYPERLINK("https://www.aliexpress.com/item/32917948919.html","Aliexpress")</f>
        <v/>
      </c>
      <c r="K2" s="9" t="n"/>
      <c r="L2" s="9" t="n"/>
      <c r="M2" s="9" t="n"/>
      <c r="N2" s="9" t="n"/>
      <c r="O2" s="9" t="n"/>
      <c r="P2" s="9" t="n"/>
      <c r="Q2" s="9" t="n"/>
      <c r="R2" s="9" t="n"/>
      <c r="S2" s="9" t="n"/>
      <c r="T2" s="9" t="n"/>
      <c r="U2" s="13" t="inlineStr">
        <is>
          <t>(normal m3 washers work here)</t>
        </is>
      </c>
      <c r="V2" s="9" t="n"/>
    </row>
    <row r="3">
      <c r="A3" s="9" t="inlineStr">
        <is>
          <t>Hardware</t>
        </is>
      </c>
      <c r="B3" s="9" t="inlineStr">
        <is>
          <t>3x5x0.5 Shim Ring (3mm ID, 5mm OD)</t>
        </is>
      </c>
      <c r="C3" s="9" t="n"/>
      <c r="D3" s="9" t="inlineStr">
        <is>
          <t>4</t>
        </is>
      </c>
      <c r="E3" s="9" t="inlineStr">
        <is>
          <t>All</t>
        </is>
      </c>
      <c r="F3" s="10">
        <f>HYPERLINK("https://s.click.aliexpress.com/e/_d6LLlCu","Aliexpress")</f>
        <v/>
      </c>
      <c r="G3" s="9" t="n"/>
      <c r="H3" s="11">
        <f>HYPERLINK("https://www.hobbytown.com/protek-rc-3x5x0.5mm-clutch-washer-10-ptk-h-5911/p188799","HobbyTown")</f>
        <v/>
      </c>
      <c r="I3" s="9" t="n"/>
      <c r="J3" s="11">
        <f>HYPERLINK("https://s.click.aliexpress.com/e/_dXI90fG","Aliexpress")</f>
        <v/>
      </c>
      <c r="K3" s="11">
        <f>HYPERLINK("https://www.aliexpress.com/item/32917948919.html","Aliexpress")</f>
        <v/>
      </c>
      <c r="L3" s="9" t="n"/>
      <c r="M3" s="9" t="n"/>
      <c r="N3" s="9" t="n"/>
      <c r="O3" s="9" t="n"/>
      <c r="P3" s="9" t="n"/>
      <c r="Q3" s="9" t="n"/>
      <c r="R3" s="9" t="n"/>
      <c r="S3" s="9" t="n"/>
      <c r="T3" s="9" t="n"/>
      <c r="U3" s="13" t="inlineStr">
        <is>
          <t>these are required for the 20t xy idlers 5mm OD is critical so the small bearings in the idlers dont rub</t>
        </is>
      </c>
      <c r="V3" s="9" t="n"/>
    </row>
    <row r="4">
      <c r="A4" s="9" t="inlineStr">
        <is>
          <t>Hardware</t>
        </is>
      </c>
      <c r="B4" s="9" t="inlineStr">
        <is>
          <t>M2 Nut</t>
        </is>
      </c>
      <c r="C4" s="9" t="inlineStr">
        <is>
          <t>ISO 4033 / DIN 934</t>
        </is>
      </c>
      <c r="D4" s="9" t="inlineStr">
        <is>
          <t>25-50</t>
        </is>
      </c>
      <c r="E4" s="9" t="inlineStr">
        <is>
          <t>All</t>
        </is>
      </c>
      <c r="F4" s="10">
        <f>HYPERLINK("https://www.boltdepot.com/Metric_hex_nuts_Stainless_steel_18-8_(A-2).aspx","Bolt Depot")</f>
        <v/>
      </c>
      <c r="G4" s="9" t="n"/>
      <c r="H4" s="9" t="n"/>
      <c r="I4" s="9" t="n"/>
      <c r="J4" s="9" t="n"/>
      <c r="K4" s="9" t="n"/>
      <c r="L4" s="9" t="n"/>
      <c r="M4" s="9" t="n"/>
      <c r="N4" s="9" t="n"/>
      <c r="O4" s="9" t="n"/>
      <c r="P4" s="9" t="n"/>
      <c r="Q4" s="9" t="n"/>
      <c r="R4" s="9" t="n"/>
      <c r="S4" s="9" t="n"/>
      <c r="T4" s="9" t="n"/>
      <c r="U4" s="13" t="inlineStr">
        <is>
          <t>for the mgn7 rails</t>
        </is>
      </c>
      <c r="V4" s="12" t="inlineStr">
        <is>
          <t>some links were dead</t>
        </is>
      </c>
    </row>
    <row r="5">
      <c r="A5" s="9" t="inlineStr">
        <is>
          <t>Hardware</t>
        </is>
      </c>
      <c r="B5" s="9" t="inlineStr">
        <is>
          <t>M3 Hexnut</t>
        </is>
      </c>
      <c r="C5" s="9" t="inlineStr">
        <is>
          <t>ISO 4033 / DIN 934</t>
        </is>
      </c>
      <c r="D5" s="9" t="inlineStr">
        <is>
          <t>162</t>
        </is>
      </c>
      <c r="E5" s="9" t="inlineStr">
        <is>
          <t>All</t>
        </is>
      </c>
      <c r="F5" s="10">
        <f>HYPERLINK("https://www.boltdepot.com/Product-Details.aspx?product=4783","Bolt Depot")</f>
        <v/>
      </c>
      <c r="G5" s="9" t="n"/>
      <c r="H5" s="11">
        <f>HYPERLINK("https://www.boltdepot.com/Metric_hex_nuts_Stainless_steel_18-8_(A-2).aspx","Bolt Depot")</f>
        <v/>
      </c>
      <c r="I5" s="9" t="n"/>
      <c r="J5" s="11">
        <f>HYPERLINK("https://www.mcmaster.com/90591A250/","McMaster-Carr (100 pack)")</f>
        <v/>
      </c>
      <c r="K5" s="11">
        <f>HYPERLINK("https://www.aliexpress.com/item/32977174437.html","Aliexpress")</f>
        <v/>
      </c>
      <c r="L5" s="9" t="n"/>
      <c r="M5" s="9" t="n"/>
      <c r="N5" s="9" t="n"/>
      <c r="O5" s="9" t="n"/>
      <c r="P5" s="9" t="n"/>
      <c r="Q5" s="9" t="n"/>
      <c r="R5" s="9" t="n"/>
      <c r="S5" s="9" t="n"/>
      <c r="T5" s="9" t="n"/>
      <c r="U5" s="9" t="n"/>
      <c r="V5" s="9" t="n"/>
    </row>
    <row r="6">
      <c r="A6" s="9" t="inlineStr">
        <is>
          <t>Hardware</t>
        </is>
      </c>
      <c r="B6" s="9" t="inlineStr">
        <is>
          <t>M3 Hexnut</t>
        </is>
      </c>
      <c r="C6" s="9" t="inlineStr">
        <is>
          <t>ISO 4033 / DIN 934</t>
        </is>
      </c>
      <c r="D6" s="9" t="inlineStr">
        <is>
          <t>2</t>
        </is>
      </c>
      <c r="E6" s="9" t="inlineStr">
        <is>
          <t>All</t>
        </is>
      </c>
      <c r="F6" s="10">
        <f>HYPERLINK("https://www.boltdepot.com/Product-Details.aspx?product=4783","Bolt Depot")</f>
        <v/>
      </c>
      <c r="G6" s="9" t="n"/>
      <c r="H6" s="11">
        <f>HYPERLINK("https://www.boltdepot.com/Metric_hex_nuts_Stainless_steel_18-8_(A-2).aspx","Bolt Depot")</f>
        <v/>
      </c>
      <c r="I6" s="9" t="n"/>
      <c r="J6" s="11">
        <f>HYPERLINK("https://www.mcmaster.com/90591A250/","McMaster-Carr (100 pack)")</f>
        <v/>
      </c>
      <c r="K6" s="11">
        <f>HYPERLINK("https://www.aliexpress.com/item/32977174437.html","Aliexpress")</f>
        <v/>
      </c>
      <c r="L6" s="9" t="n"/>
      <c r="M6" s="9" t="n"/>
      <c r="N6" s="9" t="n"/>
      <c r="O6" s="9" t="n"/>
      <c r="P6" s="9" t="n"/>
      <c r="Q6" s="9" t="n"/>
      <c r="R6" s="9" t="n"/>
      <c r="S6" s="9" t="n"/>
      <c r="T6" s="9" t="n"/>
      <c r="U6" s="9" t="n"/>
      <c r="V6" s="9" t="n"/>
    </row>
    <row r="7">
      <c r="A7" s="9" t="inlineStr">
        <is>
          <t>Fasteners</t>
        </is>
      </c>
      <c r="B7" s="9" t="inlineStr">
        <is>
          <t>M5 Hexnut</t>
        </is>
      </c>
      <c r="C7" s="9" t="inlineStr">
        <is>
          <t>ISO 4033 / DIN 934</t>
        </is>
      </c>
      <c r="D7" s="9" t="inlineStr">
        <is>
          <t>2</t>
        </is>
      </c>
      <c r="E7" s="9" t="inlineStr">
        <is>
          <t>All</t>
        </is>
      </c>
      <c r="F7" s="10">
        <f>HYPERLINK("https://www.boltdepot.com/Product-Details.aspx?product=4785","Bolt Depot")</f>
        <v/>
      </c>
      <c r="G7" s="9" t="n"/>
      <c r="H7" s="11">
        <f>HYPERLINK("https://www.boltdepot.com/Metric_hex_nuts_Stainless_steel_18-8_(A-2).aspx","Bolt Depot")</f>
        <v/>
      </c>
      <c r="I7" s="9" t="n"/>
      <c r="J7" s="9" t="n"/>
      <c r="K7" s="9" t="n"/>
      <c r="L7" s="9" t="n"/>
      <c r="M7" s="9" t="n"/>
      <c r="N7" s="9" t="n"/>
      <c r="O7" s="9" t="n"/>
      <c r="P7" s="9" t="n"/>
      <c r="Q7" s="9" t="n"/>
      <c r="R7" s="9" t="n"/>
      <c r="S7" s="9" t="n"/>
      <c r="T7" s="9" t="n"/>
      <c r="U7" s="9" t="n"/>
      <c r="V7" s="12" t="inlineStr">
        <is>
          <t>some links were dead</t>
        </is>
      </c>
    </row>
    <row r="8">
      <c r="A8" s="9" t="inlineStr">
        <is>
          <t>Hardware</t>
        </is>
      </c>
      <c r="B8" s="9" t="inlineStr">
        <is>
          <t>M2x6 BHCS</t>
        </is>
      </c>
      <c r="C8" s="9" t="inlineStr">
        <is>
          <t>ISO 7380-1</t>
        </is>
      </c>
      <c r="D8" s="9" t="inlineStr">
        <is>
          <t>33-58</t>
        </is>
      </c>
      <c r="E8" s="9" t="inlineStr">
        <is>
          <t>All</t>
        </is>
      </c>
      <c r="F8" s="10">
        <f>HYPERLINK("https://s.click.aliexpress.com/e/_dWAEssE","Aliexpress")</f>
        <v/>
      </c>
      <c r="G8" s="9" t="n"/>
      <c r="H8" s="11">
        <f>HYPERLINK("https://www.aliexpress.com/item/32966917947.html","Aliexpress")</f>
        <v/>
      </c>
      <c r="I8" s="9" t="n"/>
      <c r="J8" s="11">
        <f>HYPERLINK("https://www.aliexpress.com/item/4000038065691.html","Aliexpress")</f>
        <v/>
      </c>
      <c r="K8" s="9" t="n"/>
      <c r="L8" s="9" t="n"/>
      <c r="M8" s="9" t="n"/>
      <c r="N8" s="9" t="n"/>
      <c r="O8" s="9" t="n"/>
      <c r="P8" s="9" t="n"/>
      <c r="Q8" s="9" t="n"/>
      <c r="R8" s="9" t="n"/>
      <c r="S8" s="9" t="n"/>
      <c r="T8" s="9" t="n"/>
      <c r="U8" s="13" t="inlineStr">
        <is>
          <t>for mgn7h carriages and rails</t>
        </is>
      </c>
      <c r="V8" s="9" t="n"/>
    </row>
    <row r="9">
      <c r="A9" s="9" t="inlineStr">
        <is>
          <t>Hardware</t>
        </is>
      </c>
      <c r="B9" s="9" t="inlineStr">
        <is>
          <t>M2x8 SHCS</t>
        </is>
      </c>
      <c r="C9" s="9" t="inlineStr">
        <is>
          <t>ISO 4762 / DIN 912</t>
        </is>
      </c>
      <c r="D9" s="9" t="inlineStr">
        <is>
          <t>12</t>
        </is>
      </c>
      <c r="E9" s="9" t="inlineStr">
        <is>
          <t>All</t>
        </is>
      </c>
      <c r="F9" s="10">
        <f>HYPERLINK("https://www.boltdepot.com/Metric_socket_cap_Class_12.9_alloy_steel_black_oxide_finish_2mm_x_0.4mm.aspx","Bolt Depot")</f>
        <v/>
      </c>
      <c r="G9" s="9" t="n"/>
      <c r="H9" s="11">
        <f>HYPERLINK("https://s.click.aliexpress.com/e/_d6vrEGq","Aliexpress")</f>
        <v/>
      </c>
      <c r="I9" s="9" t="n"/>
      <c r="J9" s="11">
        <f>HYPERLINK("https://amzn.to/3c0xpEh","Amazon - M2 kit")</f>
        <v/>
      </c>
      <c r="K9" s="11">
        <f>HYPERLINK("https://www.aliexpress.com/item/2251832870888463.html","Aliexpress")</f>
        <v/>
      </c>
      <c r="L9" s="9" t="n"/>
      <c r="M9" s="11">
        <f>HYPERLINK("https://amzn.to/2SiHdlD","Amazon - M2 kit [Affiliate Link]")</f>
        <v/>
      </c>
      <c r="N9" s="9" t="n"/>
      <c r="O9" s="9" t="n"/>
      <c r="P9" s="9" t="n"/>
      <c r="Q9" s="9" t="n"/>
      <c r="R9" s="9" t="n"/>
      <c r="S9" s="9" t="n"/>
      <c r="T9" s="9" t="n"/>
      <c r="U9" s="13" t="inlineStr">
        <is>
          <t>for attaching the bed carrier to mgn7 rails on the Z axis</t>
        </is>
      </c>
      <c r="V9" s="9" t="n"/>
    </row>
    <row r="10">
      <c r="A10" s="9" t="inlineStr">
        <is>
          <t>Hardware</t>
        </is>
      </c>
      <c r="B10" s="9" t="inlineStr">
        <is>
          <t>M2.5x12 SHCS (for dragon hotend only)</t>
        </is>
      </c>
      <c r="C10" s="9" t="inlineStr">
        <is>
          <t>DIN 912</t>
        </is>
      </c>
      <c r="D10" s="9" t="inlineStr">
        <is>
          <t>4</t>
        </is>
      </c>
      <c r="E10" s="9" t="inlineStr">
        <is>
          <t>All</t>
        </is>
      </c>
      <c r="F10" s="10">
        <f>HYPERLINK("https://www.aliexpress.com/item/4000888356182.html","Aliexpress")</f>
        <v/>
      </c>
      <c r="G10" s="9" t="n"/>
      <c r="H10" s="9" t="n"/>
      <c r="I10" s="9" t="n"/>
      <c r="J10" s="9" t="n"/>
      <c r="K10" s="9" t="n"/>
      <c r="L10" s="9" t="n"/>
      <c r="M10" s="9" t="n"/>
      <c r="N10" s="9" t="n"/>
      <c r="O10" s="9" t="n"/>
      <c r="P10" s="9" t="n"/>
      <c r="Q10" s="9" t="n"/>
      <c r="R10" s="9" t="n"/>
      <c r="S10" s="9" t="n"/>
      <c r="T10" s="9" t="n"/>
      <c r="U10" s="9" t="n"/>
      <c r="V10" s="9" t="n"/>
    </row>
    <row r="11">
      <c r="A11" s="9" t="inlineStr">
        <is>
          <t>Fasteners</t>
        </is>
      </c>
      <c r="B11" s="9" t="inlineStr">
        <is>
          <t>M3x6 BHCS</t>
        </is>
      </c>
      <c r="C11" s="9" t="inlineStr">
        <is>
          <t>ISO 7380-1</t>
        </is>
      </c>
      <c r="D11" s="9" t="inlineStr">
        <is>
          <t>50</t>
        </is>
      </c>
      <c r="E11" s="9" t="inlineStr">
        <is>
          <t>All</t>
        </is>
      </c>
      <c r="F11" s="10">
        <f>HYPERLINK("https://www.boltdepot.com/Product-Details.aspx?product=13334","Bolt Depot")</f>
        <v/>
      </c>
      <c r="G11" s="9" t="n"/>
      <c r="H11" s="11">
        <f>HYPERLINK("https://www.boltdepot.com/Metric_socket_button_head_Class_12.9_alloy_steel_black_oxide_finish_3mm_x_0.5mm.aspx","Bolt Depot")</f>
        <v/>
      </c>
      <c r="I11" s="9" t="n"/>
      <c r="J11" s="11">
        <f>HYPERLINK("https://www.mcmaster.com/91239A111/","McMaster-Carr (100 pack)")</f>
        <v/>
      </c>
      <c r="K11" s="11">
        <f>HYPERLINK("https://s.click.aliexpress.com/e/_d7V4XEq","Aliexpress")</f>
        <v/>
      </c>
      <c r="L11" s="9" t="n"/>
      <c r="M11" s="9" t="n"/>
      <c r="N11" s="9" t="n"/>
      <c r="O11" s="9" t="n"/>
      <c r="P11" s="9" t="n"/>
      <c r="Q11" s="9" t="n"/>
      <c r="R11" s="9" t="n"/>
      <c r="S11" s="9" t="n"/>
      <c r="T11" s="9" t="n"/>
      <c r="U11" s="9" t="n"/>
      <c r="V11" s="9" t="n"/>
    </row>
    <row r="12">
      <c r="A12" s="9" t="inlineStr">
        <is>
          <t>Hardware</t>
        </is>
      </c>
      <c r="B12" s="9" t="inlineStr">
        <is>
          <t>M3x8 BHCS</t>
        </is>
      </c>
      <c r="C12" s="9" t="inlineStr">
        <is>
          <t>ISO 7380-1</t>
        </is>
      </c>
      <c r="D12" s="9" t="inlineStr">
        <is>
          <t>61</t>
        </is>
      </c>
      <c r="E12" s="9" t="inlineStr">
        <is>
          <t>All</t>
        </is>
      </c>
      <c r="F12" s="10">
        <f>HYPERLINK("https://www.boltdepot.com/Metric_socket_button_head_Class_12.9_alloy_steel_black_oxide_finish_3mm_x_0.5mm.aspx","Bolt Depot")</f>
        <v/>
      </c>
      <c r="G12" s="9" t="n"/>
      <c r="H12" s="11">
        <f>HYPERLINK("https://s.click.aliexpress.com/e/_d69Qoqw","Aliexpress")</f>
        <v/>
      </c>
      <c r="I12" s="9" t="n"/>
      <c r="J12" s="9" t="n"/>
      <c r="K12" s="9" t="n"/>
      <c r="L12" s="9" t="n"/>
      <c r="M12" s="9" t="n"/>
      <c r="N12" s="9" t="n"/>
      <c r="O12" s="9" t="n"/>
      <c r="P12" s="9" t="n"/>
      <c r="Q12" s="9" t="n"/>
      <c r="R12" s="9" t="n"/>
      <c r="S12" s="9" t="n"/>
      <c r="T12" s="9" t="n"/>
      <c r="U12" s="9" t="n"/>
      <c r="V12" s="9" t="n"/>
    </row>
    <row r="13">
      <c r="A13" s="9" t="inlineStr">
        <is>
          <t>Hardware</t>
        </is>
      </c>
      <c r="B13" s="9" t="inlineStr">
        <is>
          <t>M3x10 BHCS</t>
        </is>
      </c>
      <c r="C13" s="9" t="inlineStr">
        <is>
          <t>ISO 7380-1</t>
        </is>
      </c>
      <c r="D13" s="9" t="inlineStr">
        <is>
          <t>26</t>
        </is>
      </c>
      <c r="E13" s="9" t="inlineStr">
        <is>
          <t>All</t>
        </is>
      </c>
      <c r="F13" s="10">
        <f>HYPERLINK("https://www.boltdepot.com/Metric_socket_button_head_Class_12.9_alloy_steel_black_oxide_finish_3mm_x_0.5mm.aspx","Bolt Depot")</f>
        <v/>
      </c>
      <c r="G13" s="9" t="n"/>
      <c r="H13" s="11">
        <f>HYPERLINK("https://s.click.aliexpress.com/e/_dTG8kTc","Aliexpress")</f>
        <v/>
      </c>
      <c r="I13" s="9" t="n"/>
      <c r="J13" s="9" t="n"/>
      <c r="K13" s="9" t="n"/>
      <c r="L13" s="9" t="n"/>
      <c r="M13" s="9" t="n"/>
      <c r="N13" s="9" t="n"/>
      <c r="O13" s="9" t="n"/>
      <c r="P13" s="9" t="n"/>
      <c r="Q13" s="9" t="n"/>
      <c r="R13" s="9" t="n"/>
      <c r="S13" s="9" t="n"/>
      <c r="T13" s="9" t="n"/>
      <c r="U13" s="9" t="n"/>
      <c r="V13" s="9" t="n"/>
    </row>
    <row r="14">
      <c r="A14" s="9" t="inlineStr">
        <is>
          <t>Hardware</t>
        </is>
      </c>
      <c r="B14" s="9" t="inlineStr">
        <is>
          <t>M3x12 BHCS</t>
        </is>
      </c>
      <c r="C14" s="9" t="inlineStr">
        <is>
          <t>ISO 7380-1</t>
        </is>
      </c>
      <c r="D14" s="9" t="inlineStr">
        <is>
          <t>20</t>
        </is>
      </c>
      <c r="E14" s="9" t="inlineStr">
        <is>
          <t>All</t>
        </is>
      </c>
      <c r="F14" s="10">
        <f>HYPERLINK("https://www.boltdepot.com/Metric_socket_button_head_Class_12.9_alloy_steel_black_oxide_finish_3mm_x_0.5mm.aspx","Bolt Depot")</f>
        <v/>
      </c>
      <c r="G14" s="9" t="n"/>
      <c r="H14" s="11">
        <f>HYPERLINK("https://s.click.aliexpress.com/e/_dWjW7lk","Aliexpress")</f>
        <v/>
      </c>
      <c r="I14" s="9" t="n"/>
      <c r="J14" s="9" t="n"/>
      <c r="K14" s="9" t="n"/>
      <c r="L14" s="9" t="n"/>
      <c r="M14" s="9" t="n"/>
      <c r="N14" s="9" t="n"/>
      <c r="O14" s="9" t="n"/>
      <c r="P14" s="9" t="n"/>
      <c r="Q14" s="9" t="n"/>
      <c r="R14" s="9" t="n"/>
      <c r="S14" s="9" t="n"/>
      <c r="T14" s="9" t="n"/>
      <c r="U14" s="9" t="n"/>
      <c r="V14" s="9" t="n"/>
    </row>
    <row r="15">
      <c r="A15" s="9" t="inlineStr">
        <is>
          <t>Hardware</t>
        </is>
      </c>
      <c r="B15" s="9" t="inlineStr">
        <is>
          <t>M3x25 BHCS</t>
        </is>
      </c>
      <c r="C15" s="9" t="inlineStr">
        <is>
          <t>ISO 7380-1</t>
        </is>
      </c>
      <c r="D15" s="9" t="inlineStr">
        <is>
          <t>7</t>
        </is>
      </c>
      <c r="E15" s="9" t="inlineStr">
        <is>
          <t>All</t>
        </is>
      </c>
      <c r="F15" s="10">
        <f>HYPERLINK("https://www.boltdepot.com/Product-Details.aspx?product=18942","Bolt Depot")</f>
        <v/>
      </c>
      <c r="G15" s="9" t="n"/>
      <c r="H15" s="9" t="n"/>
      <c r="I15" s="9" t="n"/>
      <c r="J15" s="9" t="n"/>
      <c r="K15" s="9" t="n"/>
      <c r="L15" s="9" t="n"/>
      <c r="M15" s="9" t="n"/>
      <c r="N15" s="9" t="n"/>
      <c r="O15" s="9" t="n"/>
      <c r="P15" s="9" t="n"/>
      <c r="Q15" s="9" t="n"/>
      <c r="R15" s="9" t="n"/>
      <c r="S15" s="9" t="n"/>
      <c r="T15" s="9" t="n"/>
      <c r="U15" s="9" t="n"/>
      <c r="V15" s="12" t="inlineStr">
        <is>
          <t>some links were dead</t>
        </is>
      </c>
    </row>
    <row r="16">
      <c r="A16" s="9" t="inlineStr">
        <is>
          <t>Hardware</t>
        </is>
      </c>
      <c r="B16" s="9" t="inlineStr">
        <is>
          <t>M3x30 BHCS</t>
        </is>
      </c>
      <c r="C16" s="9" t="inlineStr">
        <is>
          <t>ISO 7380-1</t>
        </is>
      </c>
      <c r="D16" s="9" t="inlineStr">
        <is>
          <t>8</t>
        </is>
      </c>
      <c r="E16" s="9" t="inlineStr">
        <is>
          <t>All</t>
        </is>
      </c>
      <c r="F16" s="10">
        <f>HYPERLINK("https://www.boltdepot.com/Product-Details.aspx?product=18943","Bolt Depot")</f>
        <v/>
      </c>
      <c r="G16" s="9" t="n"/>
      <c r="H16" s="11">
        <f>HYPERLINK("https://s.click.aliexpress.com/e/_dUZTaXk","Aliexpress")</f>
        <v/>
      </c>
      <c r="I16" s="9" t="n"/>
      <c r="J16" s="9" t="n"/>
      <c r="K16" s="9" t="n"/>
      <c r="L16" s="9" t="n"/>
      <c r="M16" s="9" t="n"/>
      <c r="N16" s="9" t="n"/>
      <c r="O16" s="9" t="n"/>
      <c r="P16" s="9" t="n"/>
      <c r="Q16" s="9" t="n"/>
      <c r="R16" s="9" t="n"/>
      <c r="S16" s="9" t="n"/>
      <c r="T16" s="9" t="n"/>
      <c r="U16" s="9" t="n"/>
      <c r="V16" s="9" t="n"/>
    </row>
    <row r="17">
      <c r="A17" s="9" t="inlineStr">
        <is>
          <t>Hardware</t>
        </is>
      </c>
      <c r="B17" s="9" t="inlineStr">
        <is>
          <t>M3x35 BHCS</t>
        </is>
      </c>
      <c r="C17" s="9" t="inlineStr">
        <is>
          <t>ISO 7380-1</t>
        </is>
      </c>
      <c r="D17" s="9" t="inlineStr">
        <is>
          <t>35</t>
        </is>
      </c>
      <c r="E17" s="9" t="inlineStr">
        <is>
          <t>All</t>
        </is>
      </c>
      <c r="F17" s="10">
        <f>HYPERLINK("https://www.boltdepot.com/Metric_socket_button_head_Class_12.9_alloy_steel_black_oxide_finish_3mm_x_0.5mm.aspx","Bolt Depot")</f>
        <v/>
      </c>
      <c r="G17" s="9" t="n"/>
      <c r="H17" s="9" t="n"/>
      <c r="I17" s="9" t="n"/>
      <c r="J17" s="9" t="n"/>
      <c r="K17" s="9" t="n"/>
      <c r="L17" s="9" t="n"/>
      <c r="M17" s="9" t="n"/>
      <c r="N17" s="9" t="n"/>
      <c r="O17" s="9" t="n"/>
      <c r="P17" s="9" t="n"/>
      <c r="Q17" s="9" t="n"/>
      <c r="R17" s="9" t="n"/>
      <c r="S17" s="9" t="n"/>
      <c r="T17" s="9" t="n"/>
      <c r="U17" s="9" t="n"/>
      <c r="V17" s="12" t="inlineStr">
        <is>
          <t>all links were dead</t>
        </is>
      </c>
    </row>
    <row r="18">
      <c r="A18" s="9" t="inlineStr">
        <is>
          <t>Hardware</t>
        </is>
      </c>
      <c r="B18" s="9" t="inlineStr">
        <is>
          <t>M3x40 BHCS</t>
        </is>
      </c>
      <c r="C18" s="9" t="inlineStr">
        <is>
          <t>ISO 7380-1</t>
        </is>
      </c>
      <c r="D18" s="9" t="inlineStr">
        <is>
          <t>3</t>
        </is>
      </c>
      <c r="E18" s="9" t="inlineStr">
        <is>
          <t>All</t>
        </is>
      </c>
      <c r="F18" s="10">
        <f>HYPERLINK("https://www.boltdepot.com/Product-Details.aspx?product=15294","Bolt Depot")</f>
        <v/>
      </c>
      <c r="G18" s="9" t="n"/>
      <c r="H18" s="9" t="n"/>
      <c r="I18" s="9" t="n"/>
      <c r="J18" s="9" t="n"/>
      <c r="K18" s="9" t="n"/>
      <c r="L18" s="9" t="n"/>
      <c r="M18" s="9" t="n"/>
      <c r="N18" s="9" t="n"/>
      <c r="O18" s="9" t="n"/>
      <c r="P18" s="9" t="n"/>
      <c r="Q18" s="9" t="n"/>
      <c r="R18" s="9" t="n"/>
      <c r="S18" s="9" t="n"/>
      <c r="T18" s="9" t="n"/>
      <c r="U18" s="9" t="n"/>
      <c r="V18" s="12" t="inlineStr">
        <is>
          <t>all links were dead</t>
        </is>
      </c>
    </row>
    <row r="19">
      <c r="A19" s="9" t="inlineStr">
        <is>
          <t>Hardware</t>
        </is>
      </c>
      <c r="B19" s="9" t="inlineStr">
        <is>
          <t>M5x35mm BHCS</t>
        </is>
      </c>
      <c r="C19" s="9" t="inlineStr">
        <is>
          <t>ISO 7380-1</t>
        </is>
      </c>
      <c r="D19" s="9" t="inlineStr">
        <is>
          <t>2</t>
        </is>
      </c>
      <c r="E19" s="9" t="inlineStr">
        <is>
          <t>All</t>
        </is>
      </c>
      <c r="F19" s="10">
        <f>HYPERLINK("https://www.boltdepot.com/Metric_socket_button_head_Class_12.9_alloy_steel_black_oxide_finish_5mm_x_0.8mm.aspx","Bolt Depot")</f>
        <v/>
      </c>
      <c r="G19" s="9" t="n"/>
      <c r="H19" s="11">
        <f>HYPERLINK("https://s.click.aliexpress.com/e/_d9EGBZ4","Aliexpress")</f>
        <v/>
      </c>
      <c r="I19" s="9" t="n"/>
      <c r="J19" s="9" t="n"/>
      <c r="K19" s="9" t="n"/>
      <c r="L19" s="9" t="n"/>
      <c r="M19" s="9" t="n"/>
      <c r="N19" s="9" t="n"/>
      <c r="O19" s="9" t="n"/>
      <c r="P19" s="9" t="n"/>
      <c r="Q19" s="9" t="n"/>
      <c r="R19" s="9" t="n"/>
      <c r="S19" s="9" t="n"/>
      <c r="T19" s="9" t="n"/>
      <c r="U19" s="9" t="n"/>
      <c r="V19" s="9" t="n"/>
    </row>
    <row r="20">
      <c r="A20" s="9" t="inlineStr">
        <is>
          <t>Fasteners</t>
        </is>
      </c>
      <c r="B20" s="9" t="inlineStr">
        <is>
          <t>M2x10 Self Tapping Screw for Plastics</t>
        </is>
      </c>
      <c r="C20" s="9" t="n"/>
      <c r="D20" s="9" t="inlineStr">
        <is>
          <t>11</t>
        </is>
      </c>
      <c r="E20" s="9" t="inlineStr">
        <is>
          <t>All</t>
        </is>
      </c>
      <c r="F20" s="10">
        <f>HYPERLINK("https://www.aliexpress.com/item/33043885403.html","Aliexpress")</f>
        <v/>
      </c>
      <c r="G20" s="9" t="n"/>
      <c r="H20" s="11">
        <f>HYPERLINK("https://www.mcmaster.com/99397A267/","McMaster-Carr (50 pack)")</f>
        <v/>
      </c>
      <c r="I20" s="9" t="n"/>
      <c r="J20" s="11">
        <f>HYPERLINK("https://amzn.to/2JFQPSK","Amazon - kit")</f>
        <v/>
      </c>
      <c r="K20" s="11">
        <f>HYPERLINK("https://s.click.aliexpress.com/e/_d6tILYa","Aliexpress")</f>
        <v/>
      </c>
      <c r="L20" s="9" t="n"/>
      <c r="M20" s="11">
        <f>HYPERLINK("https://www.amazon.com/dp/B012THLK1E","Amazon")</f>
        <v/>
      </c>
      <c r="N20" s="9" t="n"/>
      <c r="O20" s="9" t="n"/>
      <c r="P20" s="9" t="n"/>
      <c r="Q20" s="9" t="n"/>
      <c r="R20" s="9" t="n"/>
      <c r="S20" s="9" t="n"/>
      <c r="T20" s="9" t="n"/>
      <c r="U20" s="9" t="n"/>
      <c r="V20" s="9" t="n"/>
    </row>
    <row r="21">
      <c r="A21" s="9" t="inlineStr">
        <is>
          <t>Hardware</t>
        </is>
      </c>
      <c r="B21" s="9" t="inlineStr">
        <is>
          <t>M3 Thumb Nuts</t>
        </is>
      </c>
      <c r="C21" s="9" t="inlineStr">
        <is>
          <t>DIN 467</t>
        </is>
      </c>
      <c r="D21" s="9" t="inlineStr">
        <is>
          <t>3</t>
        </is>
      </c>
      <c r="E21" s="9" t="inlineStr">
        <is>
          <t>All</t>
        </is>
      </c>
      <c r="F21" s="10">
        <f>HYPERLINK("https://www.aliexpress.com/item/4000023683078.html","Aliexpress")</f>
        <v/>
      </c>
      <c r="G21" s="9" t="n"/>
      <c r="H21" s="9" t="n"/>
      <c r="I21" s="9" t="n"/>
      <c r="J21" s="9" t="n"/>
      <c r="K21" s="9" t="n"/>
      <c r="L21" s="9" t="n"/>
      <c r="M21" s="9" t="n"/>
      <c r="N21" s="9" t="n"/>
      <c r="O21" s="9" t="n"/>
      <c r="P21" s="9" t="n"/>
      <c r="Q21" s="9" t="n"/>
      <c r="R21" s="9" t="n"/>
      <c r="S21" s="9" t="n"/>
      <c r="T21" s="9" t="n"/>
      <c r="U21" s="9" t="n"/>
      <c r="V21" s="9" t="n"/>
    </row>
    <row r="22">
      <c r="A22" s="9" t="inlineStr">
        <is>
          <t>Hardware</t>
        </is>
      </c>
      <c r="B22" s="9" t="inlineStr">
        <is>
          <t>Makerbeam XL M3 t-nut</t>
        </is>
      </c>
      <c r="C22" s="9" t="n"/>
      <c r="D22" s="9" t="inlineStr">
        <is>
          <t>2</t>
        </is>
      </c>
      <c r="E22" s="9" t="inlineStr">
        <is>
          <t>All</t>
        </is>
      </c>
      <c r="F22" s="10">
        <f>HYPERLINK("https://amzn.to/2UKJlnQ","Amazon")</f>
        <v/>
      </c>
      <c r="G22" s="9" t="n"/>
      <c r="H22" s="11">
        <f>HYPERLINK("https://amzn.to/2YdtWOV","Amazon [Affiliate Link]")</f>
        <v/>
      </c>
      <c r="I22" s="9" t="n"/>
      <c r="J22" s="9" t="n"/>
      <c r="K22" s="9" t="n"/>
      <c r="L22" s="9" t="n"/>
      <c r="M22" s="9" t="n"/>
      <c r="N22" s="9" t="n"/>
      <c r="O22" s="9" t="n"/>
      <c r="P22" s="9" t="n"/>
      <c r="Q22" s="9" t="n"/>
      <c r="R22" s="9" t="n"/>
      <c r="S22" s="9" t="n"/>
      <c r="T22" s="9" t="n"/>
      <c r="U22" s="13" t="inlineStr">
        <is>
          <t>you can also make these by grinding down the sides of generic openbuilds m3 t nuts</t>
        </is>
      </c>
      <c r="V22" s="12" t="inlineStr">
        <is>
          <t>some links were dead</t>
        </is>
      </c>
    </row>
    <row r="23">
      <c r="A23" s="30" t="inlineStr">
        <is>
          <t>Frame</t>
        </is>
      </c>
      <c r="B23" s="30" t="inlineStr">
        <is>
          <t>Makerbeam XL 15x15 200mm</t>
        </is>
      </c>
      <c r="C23" s="30" t="n"/>
      <c r="D23" s="30" t="inlineStr">
        <is>
          <t>16</t>
        </is>
      </c>
      <c r="E23" s="30" t="inlineStr">
        <is>
          <t>All</t>
        </is>
      </c>
      <c r="F23" s="32">
        <f>HYPERLINK("https://amzn.to/3aHQ2M1","Amazon [Affiliate Link]")</f>
        <v/>
      </c>
      <c r="G23" s="30" t="n"/>
      <c r="H23" s="30" t="n"/>
      <c r="I23" s="30" t="n"/>
      <c r="J23" s="30" t="n"/>
      <c r="K23" s="30" t="n"/>
      <c r="L23" s="30" t="n"/>
      <c r="M23" s="30" t="n"/>
      <c r="N23" s="30" t="n"/>
      <c r="O23" s="30" t="n"/>
      <c r="P23" s="30" t="n"/>
      <c r="Q23" s="30" t="n"/>
      <c r="R23" s="30" t="n"/>
      <c r="S23" s="30" t="n"/>
      <c r="T23" s="30" t="n"/>
      <c r="U23" s="34" t="inlineStr">
        <is>
          <t>misumi 1515 also works</t>
        </is>
      </c>
      <c r="V23" s="31" t="inlineStr">
        <is>
          <t>some links were dead</t>
        </is>
      </c>
    </row>
    <row r="24">
      <c r="A24" s="30" t="inlineStr">
        <is>
          <t>Frame</t>
        </is>
      </c>
      <c r="B24" s="30" t="inlineStr">
        <is>
          <t>Makerbeam XL 15x15 100mm</t>
        </is>
      </c>
      <c r="C24" s="30" t="n"/>
      <c r="D24" s="30" t="inlineStr">
        <is>
          <t>3</t>
        </is>
      </c>
      <c r="E24" s="30" t="inlineStr">
        <is>
          <t>All</t>
        </is>
      </c>
      <c r="F24" s="30" t="n"/>
      <c r="G24" s="30" t="n"/>
      <c r="H24" s="30" t="n"/>
      <c r="I24" s="30" t="n"/>
      <c r="J24" s="30" t="n"/>
      <c r="K24" s="30" t="n"/>
      <c r="L24" s="30" t="n"/>
      <c r="M24" s="30" t="n"/>
      <c r="N24" s="30" t="n"/>
      <c r="O24" s="30" t="n"/>
      <c r="P24" s="30" t="n"/>
      <c r="Q24" s="30" t="n"/>
      <c r="R24" s="30" t="n"/>
      <c r="S24" s="30" t="n"/>
      <c r="T24" s="30" t="n"/>
      <c r="U24" s="34" t="inlineStr">
        <is>
          <t>misumi 1515 also works or cut a 200mm makerbeamXL in half</t>
        </is>
      </c>
      <c r="V24" s="30" t="n"/>
    </row>
    <row r="25">
      <c r="A25" s="24" t="inlineStr">
        <is>
          <t>Electronics</t>
        </is>
      </c>
      <c r="B25" s="24" t="inlineStr">
        <is>
          <t>Meanwell LRS-100-24</t>
        </is>
      </c>
      <c r="C25" s="24" t="n"/>
      <c r="D25" s="24" t="inlineStr">
        <is>
          <t>1</t>
        </is>
      </c>
      <c r="E25" s="24" t="inlineStr">
        <is>
          <t>All</t>
        </is>
      </c>
      <c r="F25" s="25">
        <f>HYPERLINK("https://www.mouser.com/productdetail/mean-well/lrs-100-24?qs=vDxCgdWo2h8VcCv3wQzZdg%3D%3D","Mouser")</f>
        <v/>
      </c>
      <c r="G25" s="24" t="n"/>
      <c r="H25" s="24" t="n"/>
      <c r="I25" s="24" t="n"/>
      <c r="J25" s="24" t="n"/>
      <c r="K25" s="24" t="n"/>
      <c r="L25" s="24" t="n"/>
      <c r="M25" s="24" t="n"/>
      <c r="N25" s="24" t="n"/>
      <c r="O25" s="24" t="n"/>
      <c r="P25" s="24" t="n"/>
      <c r="Q25" s="24" t="n"/>
      <c r="R25" s="24" t="n"/>
      <c r="S25" s="24" t="n"/>
      <c r="T25" s="24" t="n"/>
      <c r="U25" s="27" t="inlineStr">
        <is>
          <t>For regions that mandate PFC use the MeanWell RSP instead of the LRS</t>
        </is>
      </c>
      <c r="V25" s="28" t="inlineStr">
        <is>
          <t>some links were dead</t>
        </is>
      </c>
    </row>
    <row r="26">
      <c r="A26" s="24" t="inlineStr">
        <is>
          <t>Electronics</t>
        </is>
      </c>
      <c r="B26" s="24" t="inlineStr">
        <is>
          <t>DC/DC PSU/buck converter - 24V to 5V</t>
        </is>
      </c>
      <c r="C26" s="24" t="n"/>
      <c r="D26" s="24" t="inlineStr">
        <is>
          <t>1</t>
        </is>
      </c>
      <c r="E26" s="24" t="inlineStr">
        <is>
          <t>All</t>
        </is>
      </c>
      <c r="F26" s="25">
        <f>HYPERLINK("https://amzn.to/2KIBNMw","Amazon [Affiliate Link]")</f>
        <v/>
      </c>
      <c r="G26" s="24" t="n"/>
      <c r="H26" s="26">
        <f>HYPERLINK("https://s.click.aliexpress.com/e/_Bfg1Siru","Aliexpress")</f>
        <v/>
      </c>
      <c r="I26" s="24" t="n"/>
      <c r="J26" s="24" t="n"/>
      <c r="K26" s="24" t="n"/>
      <c r="L26" s="24" t="n"/>
      <c r="M26" s="24" t="n"/>
      <c r="N26" s="24" t="n"/>
      <c r="O26" s="24" t="n"/>
      <c r="P26" s="24" t="n"/>
      <c r="Q26" s="24" t="n"/>
      <c r="R26" s="24" t="n"/>
      <c r="S26" s="24" t="n"/>
      <c r="T26" s="24" t="n"/>
      <c r="U26" s="24" t="n"/>
      <c r="V26" s="28" t="inlineStr">
        <is>
          <t>some links were dead</t>
        </is>
      </c>
    </row>
    <row r="27">
      <c r="A27" s="24" t="inlineStr">
        <is>
          <t>Electronics</t>
        </is>
      </c>
      <c r="B27" s="24" t="inlineStr">
        <is>
          <t>Bigtreetech SKR mini E3 (v1.2 or v2)</t>
        </is>
      </c>
      <c r="C27" s="24" t="n"/>
      <c r="D27" s="24" t="inlineStr">
        <is>
          <t>1</t>
        </is>
      </c>
      <c r="E27" s="24" t="inlineStr">
        <is>
          <t>All</t>
        </is>
      </c>
      <c r="F27" s="24" t="n"/>
      <c r="G27" s="24" t="n"/>
      <c r="H27" s="24" t="n"/>
      <c r="I27" s="24" t="n"/>
      <c r="J27" s="24" t="n"/>
      <c r="K27" s="24" t="n"/>
      <c r="L27" s="24" t="n"/>
      <c r="M27" s="24" t="n"/>
      <c r="N27" s="24" t="n"/>
      <c r="O27" s="24" t="n"/>
      <c r="P27" s="24" t="n"/>
      <c r="Q27" s="24" t="n"/>
      <c r="R27" s="24" t="n"/>
      <c r="S27" s="24" t="n"/>
      <c r="T27" s="24" t="n"/>
      <c r="U27" s="27" t="inlineStr">
        <is>
          <t>Space is a Premium</t>
        </is>
      </c>
      <c r="V27" s="28" t="inlineStr">
        <is>
          <t>all links were dead</t>
        </is>
      </c>
    </row>
    <row r="28">
      <c r="A28" s="24" t="inlineStr">
        <is>
          <t>Electronics</t>
        </is>
      </c>
      <c r="B28" s="24" t="inlineStr">
        <is>
          <t>Crydom ED24D3 SSR</t>
        </is>
      </c>
      <c r="C28" s="24" t="n"/>
      <c r="D28" s="24" t="inlineStr">
        <is>
          <t>1</t>
        </is>
      </c>
      <c r="E28" s="24" t="inlineStr">
        <is>
          <t>All</t>
        </is>
      </c>
      <c r="F28" s="25">
        <f>HYPERLINK("https://www.digikey.com/product-detail/en/sensata-crydom/ED24D3/CC1825-ND/2665173","Digikey")</f>
        <v/>
      </c>
      <c r="G28" s="24" t="n"/>
      <c r="H28" s="26">
        <f>HYPERLINK("https://www.mouser.com/ProductDetail/Crydom/ED24D3?qs=C7H2C2ytqFX%2Fs1r7lyp2Iw%3D%3D","Mouser")</f>
        <v/>
      </c>
      <c r="I28" s="24" t="n"/>
      <c r="J28" s="24" t="n"/>
      <c r="K28" s="24" t="n"/>
      <c r="L28" s="24" t="n"/>
      <c r="M28" s="24" t="n"/>
      <c r="N28" s="24" t="n"/>
      <c r="O28" s="24" t="n"/>
      <c r="P28" s="24" t="n"/>
      <c r="Q28" s="24" t="n"/>
      <c r="R28" s="24" t="n"/>
      <c r="S28" s="24" t="n"/>
      <c r="T28" s="24" t="n"/>
      <c r="U28" s="27" t="inlineStr">
        <is>
          <t>SSR must be able to be switched by 3.3v power if using skr mini 1.1 instead of mini E3</t>
        </is>
      </c>
      <c r="V28" s="24" t="n"/>
    </row>
    <row r="29">
      <c r="A29" s="24" t="inlineStr">
        <is>
          <t>Electronics</t>
        </is>
      </c>
      <c r="B29" s="24" t="inlineStr">
        <is>
          <t>Raspberry Pi 3</t>
        </is>
      </c>
      <c r="C29" s="24" t="n"/>
      <c r="D29" s="24" t="inlineStr">
        <is>
          <t>1</t>
        </is>
      </c>
      <c r="E29" s="24" t="inlineStr">
        <is>
          <t>All</t>
        </is>
      </c>
      <c r="F29" s="25">
        <f>HYPERLINK("https://www.adafruit.com/product/3775","Adafruit")</f>
        <v/>
      </c>
      <c r="G29" s="24" t="n"/>
      <c r="H29" s="24" t="n"/>
      <c r="I29" s="24" t="n"/>
      <c r="J29" s="24" t="n"/>
      <c r="K29" s="24" t="n"/>
      <c r="L29" s="24" t="n"/>
      <c r="M29" s="24" t="n"/>
      <c r="N29" s="24" t="n"/>
      <c r="O29" s="24" t="n"/>
      <c r="P29" s="24" t="n"/>
      <c r="Q29" s="24" t="n"/>
      <c r="R29" s="24" t="n"/>
      <c r="S29" s="24" t="n"/>
      <c r="T29" s="24" t="n"/>
      <c r="U29" s="24" t="n"/>
      <c r="V29" s="24" t="n"/>
    </row>
    <row r="30">
      <c r="A30" s="5" t="inlineStr">
        <is>
          <t>Controller</t>
        </is>
      </c>
      <c r="B30" s="5" t="inlineStr">
        <is>
          <t>MicroSD Card</t>
        </is>
      </c>
      <c r="C30" s="5" t="n"/>
      <c r="D30" s="5" t="inlineStr">
        <is>
          <t>1</t>
        </is>
      </c>
      <c r="E30" s="5" t="inlineStr">
        <is>
          <t>All</t>
        </is>
      </c>
      <c r="F30" s="6">
        <f>HYPERLINK("https://www.amazon.com/dp/B073JYVKNX","Amazon (64gb)")</f>
        <v/>
      </c>
      <c r="G30" s="5" t="n"/>
      <c r="H30" s="7">
        <f>HYPERLINK("https://www.amazon.com/dp/B0749KG1JK","Amazon (32gb)")</f>
        <v/>
      </c>
      <c r="I30" s="5" t="n"/>
      <c r="J30" s="7">
        <f>HYPERLINK("https://amzn.to/2PDYXWX","Amazon")</f>
        <v/>
      </c>
      <c r="K30" s="5" t="n"/>
      <c r="L30" s="5" t="n"/>
      <c r="M30" s="5" t="n"/>
      <c r="N30" s="5" t="n"/>
      <c r="O30" s="5" t="n"/>
      <c r="P30" s="5" t="n"/>
      <c r="Q30" s="5" t="n"/>
      <c r="R30" s="5" t="n"/>
      <c r="S30" s="5" t="n"/>
      <c r="T30" s="5" t="n"/>
      <c r="U30" s="5" t="n"/>
      <c r="V30" s="5" t="n"/>
    </row>
    <row r="31">
      <c r="A31" s="24" t="inlineStr">
        <is>
          <t>Electronics</t>
        </is>
      </c>
      <c r="B31" s="24" t="inlineStr">
        <is>
          <t>NEMA14 Stepper Motor (14HS17-0504S)</t>
        </is>
      </c>
      <c r="C31" s="24" t="n"/>
      <c r="D31" s="24" t="inlineStr">
        <is>
          <t>3</t>
        </is>
      </c>
      <c r="E31" s="24" t="inlineStr">
        <is>
          <t>All</t>
        </is>
      </c>
      <c r="F31" s="25">
        <f>HYPERLINK("https://www.omc-stepperonline.com/nema-14-stepper-motor-kit-for-voron-v0.html","OMC Stepper - V0 Kit")</f>
        <v/>
      </c>
      <c r="G31" s="24" t="n"/>
      <c r="H31" s="26">
        <f>HYPERLINK("https://s.click.aliexpress.com/e/_dTb2YwC","Aliexpress")</f>
        <v/>
      </c>
      <c r="I31" s="24" t="n"/>
      <c r="J31" s="24" t="n"/>
      <c r="K31" s="24" t="n"/>
      <c r="L31" s="24" t="n"/>
      <c r="M31" s="24" t="n"/>
      <c r="N31" s="24" t="n"/>
      <c r="O31" s="24" t="n"/>
      <c r="P31" s="24" t="n"/>
      <c r="Q31" s="24" t="n"/>
      <c r="R31" s="24" t="n"/>
      <c r="S31" s="24" t="n"/>
      <c r="T31" s="24" t="n"/>
      <c r="U31" s="27" t="inlineStr">
        <is>
          <t>XYZ</t>
        </is>
      </c>
      <c r="V31" s="24" t="n"/>
    </row>
    <row r="32">
      <c r="A32" s="24" t="inlineStr">
        <is>
          <t>Electronics</t>
        </is>
      </c>
      <c r="B32" s="24" t="inlineStr">
        <is>
          <t>3010 blower fans 24V</t>
        </is>
      </c>
      <c r="C32" s="24" t="n"/>
      <c r="D32" s="24" t="inlineStr">
        <is>
          <t>2</t>
        </is>
      </c>
      <c r="E32" s="24" t="inlineStr">
        <is>
          <t>All</t>
        </is>
      </c>
      <c r="F32" s="25">
        <f>HYPERLINK("https://s.click.aliexpress.com/e/_d8S7D6y","gdstime ali")</f>
        <v/>
      </c>
      <c r="G32" s="24" t="n"/>
      <c r="H32" s="26">
        <f>HYPERLINK("https://s.click.aliexpress.com/e/_DlbccTf","Aliexpress")</f>
        <v/>
      </c>
      <c r="I32" s="24" t="n"/>
      <c r="J32" s="26">
        <f>HYPERLINK("https://www.digikey.com/en/products/detail/delta-electronics/BFB0305HHA-C/11563392","Digikey (5v)")</f>
        <v/>
      </c>
      <c r="K32" s="24" t="n"/>
      <c r="L32" s="24" t="n"/>
      <c r="M32" s="24" t="n"/>
      <c r="N32" s="24" t="n"/>
      <c r="O32" s="24" t="n"/>
      <c r="P32" s="24" t="n"/>
      <c r="Q32" s="24" t="n"/>
      <c r="R32" s="24" t="n"/>
      <c r="S32" s="24" t="n"/>
      <c r="T32" s="24" t="n"/>
      <c r="U32" s="24" t="n"/>
      <c r="V32" s="28" t="inlineStr">
        <is>
          <t>some links were dead</t>
        </is>
      </c>
    </row>
    <row r="33">
      <c r="A33" s="24" t="inlineStr">
        <is>
          <t>Electronics</t>
        </is>
      </c>
      <c r="B33" s="24" t="inlineStr">
        <is>
          <t>3010 axial fan 24v</t>
        </is>
      </c>
      <c r="C33" s="24" t="n"/>
      <c r="D33" s="24" t="inlineStr">
        <is>
          <t>1</t>
        </is>
      </c>
      <c r="E33" s="24" t="inlineStr">
        <is>
          <t>All</t>
        </is>
      </c>
      <c r="F33" s="25">
        <f>HYPERLINK("https://s.click.aliexpress.com/e/_DkCBTgT","Aliexpress")</f>
        <v/>
      </c>
      <c r="G33" s="24" t="n"/>
      <c r="H33" s="26">
        <f>HYPERLINK("https://s.click.aliexpress.com/e/_d7Kb0ms","gdstime ali")</f>
        <v/>
      </c>
      <c r="I33" s="24" t="n"/>
      <c r="J33" s="26">
        <f>HYPERLINK("https://www.digikey.com/en/products/detail/mechatronics-fan-group/MR3010H05B1-RSR/7605851","Digikey")</f>
        <v/>
      </c>
      <c r="K33" s="24" t="n"/>
      <c r="L33" s="24" t="n"/>
      <c r="M33" s="24" t="n"/>
      <c r="N33" s="24" t="n"/>
      <c r="O33" s="24" t="n"/>
      <c r="P33" s="24" t="n"/>
      <c r="Q33" s="24" t="n"/>
      <c r="R33" s="24" t="n"/>
      <c r="S33" s="24" t="n"/>
      <c r="T33" s="24" t="n"/>
      <c r="U33" s="27" t="inlineStr">
        <is>
          <t>not required if using a mosquito hotend</t>
        </is>
      </c>
      <c r="V33" s="24" t="n"/>
    </row>
    <row r="34">
      <c r="A34" s="24" t="inlineStr">
        <is>
          <t>Electronics</t>
        </is>
      </c>
      <c r="B34" s="24" t="inlineStr">
        <is>
          <t>Omron Mouse Button - Micro Switch</t>
        </is>
      </c>
      <c r="C34" s="24" t="n"/>
      <c r="D34" s="24" t="inlineStr">
        <is>
          <t>3</t>
        </is>
      </c>
      <c r="E34" s="24" t="inlineStr">
        <is>
          <t>All</t>
        </is>
      </c>
      <c r="F34" s="25">
        <f>HYPERLINK("https://www.digikey.com/product-detail/en/omron-electronics-inc-emc-div/D2F-5L/Z8846-ND/8593137","Digikey")</f>
        <v/>
      </c>
      <c r="G34" s="24" t="n"/>
      <c r="H34" s="26">
        <f>HYPERLINK("https://www.digikey.com/en/products/detail/omron-electronics-inc-emc-div/D2F-01L/83264","Digikey")</f>
        <v/>
      </c>
      <c r="I34" s="24" t="n"/>
      <c r="J34" s="26">
        <f>HYPERLINK("https://www.digikey.com/product-detail/en/omron-electronics-inc-emc-div/D2F-5/Z8845-ND/8593136","Digikey")</f>
        <v/>
      </c>
      <c r="K34" s="24" t="n"/>
      <c r="L34" s="24" t="n"/>
      <c r="M34" s="24" t="n"/>
      <c r="N34" s="24" t="n"/>
      <c r="O34" s="24" t="n"/>
      <c r="P34" s="24" t="n"/>
      <c r="Q34" s="24" t="n"/>
      <c r="R34" s="24" t="n"/>
      <c r="S34" s="24" t="n"/>
      <c r="T34" s="24" t="n"/>
      <c r="U34" s="24" t="n"/>
      <c r="V34" s="28" t="inlineStr">
        <is>
          <t>some links were dead</t>
        </is>
      </c>
    </row>
    <row r="35">
      <c r="A35" s="24" t="inlineStr">
        <is>
          <t>Electronics</t>
        </is>
      </c>
      <c r="B35" s="24" t="inlineStr">
        <is>
          <t>C13 Power Cord with Inline Switch</t>
        </is>
      </c>
      <c r="C35" s="24" t="n"/>
      <c r="D35" s="24" t="inlineStr">
        <is>
          <t>1</t>
        </is>
      </c>
      <c r="E35" s="24" t="inlineStr">
        <is>
          <t>All</t>
        </is>
      </c>
      <c r="F35" s="25">
        <f>HYPERLINK("https://s.click.aliexpress.com/e/_dTDjOmA","Aliexpress")</f>
        <v/>
      </c>
      <c r="G35" s="24" t="n"/>
      <c r="H35" s="26">
        <f>HYPERLINK("https://www.aliexpress.com/item/4000353269786.html","Aliexpress")</f>
        <v/>
      </c>
      <c r="I35" s="24" t="n"/>
      <c r="J35" s="24" t="n"/>
      <c r="K35" s="24" t="n"/>
      <c r="L35" s="24" t="n"/>
      <c r="M35" s="24" t="n"/>
      <c r="N35" s="24" t="n"/>
      <c r="O35" s="24" t="n"/>
      <c r="P35" s="24" t="n"/>
      <c r="Q35" s="24" t="n"/>
      <c r="R35" s="24" t="n"/>
      <c r="S35" s="24" t="n"/>
      <c r="T35" s="24" t="n"/>
      <c r="U35" s="24" t="n"/>
      <c r="V35" s="24" t="n"/>
    </row>
    <row r="36">
      <c r="A36" s="24" t="inlineStr">
        <is>
          <t>Electronics</t>
        </is>
      </c>
      <c r="B36" s="24" t="inlineStr">
        <is>
          <t>Threaded v6 Hotend kit 24V (All Metal)</t>
        </is>
      </c>
      <c r="C36" s="24" t="n"/>
      <c r="D36" s="24" t="inlineStr">
        <is>
          <t>1</t>
        </is>
      </c>
      <c r="E36" s="24" t="inlineStr">
        <is>
          <t>All</t>
        </is>
      </c>
      <c r="F36" s="25">
        <f>HYPERLINK("https://s.click.aliexpress.com/e/_dWCqSj2","Aliexpress")</f>
        <v/>
      </c>
      <c r="G36" s="24" t="n"/>
      <c r="H36" s="26">
        <f>HYPERLINK("https://www.aliexpress.com/item/32888737278.html","Aliexpress")</f>
        <v/>
      </c>
      <c r="I36" s="24" t="n"/>
      <c r="J36" s="24" t="n"/>
      <c r="K36" s="24" t="n"/>
      <c r="L36" s="24" t="n"/>
      <c r="M36" s="24" t="n"/>
      <c r="N36" s="24" t="n"/>
      <c r="O36" s="24" t="n"/>
      <c r="P36" s="24" t="n"/>
      <c r="Q36" s="24" t="n"/>
      <c r="R36" s="24" t="n"/>
      <c r="S36" s="24" t="n"/>
      <c r="T36" s="24" t="n"/>
      <c r="U36" s="27" t="inlineStr">
        <is>
          <t>pick one of these</t>
        </is>
      </c>
      <c r="V36" s="24" t="n"/>
    </row>
    <row r="37">
      <c r="A37" s="9" t="inlineStr">
        <is>
          <t>Hotend</t>
        </is>
      </c>
      <c r="B37" s="9" t="inlineStr">
        <is>
          <t>TriangleLab Dragon Hotend</t>
        </is>
      </c>
      <c r="C37" s="9" t="n"/>
      <c r="D37" s="9" t="inlineStr">
        <is>
          <t>1</t>
        </is>
      </c>
      <c r="E37" s="9" t="inlineStr">
        <is>
          <t>All</t>
        </is>
      </c>
      <c r="F37" s="9" t="n"/>
      <c r="G37" s="9" t="n"/>
      <c r="H37" s="9" t="n"/>
      <c r="I37" s="9" t="n"/>
      <c r="J37" s="9" t="n"/>
      <c r="K37" s="9" t="n"/>
      <c r="L37" s="9" t="n"/>
      <c r="M37" s="9" t="n"/>
      <c r="N37" s="9" t="n"/>
      <c r="O37" s="9" t="n"/>
      <c r="P37" s="9" t="n"/>
      <c r="Q37" s="9" t="n"/>
      <c r="R37" s="9" t="n"/>
      <c r="S37" s="9" t="n"/>
      <c r="T37" s="9" t="n"/>
      <c r="U37" s="13" t="inlineStr">
        <is>
          <t>pick one of these</t>
        </is>
      </c>
      <c r="V37" s="12" t="inlineStr">
        <is>
          <t>all links were dead</t>
        </is>
      </c>
    </row>
    <row r="38">
      <c r="A38" s="24" t="inlineStr">
        <is>
          <t>Electronics</t>
        </is>
      </c>
      <c r="B38" s="24" t="inlineStr">
        <is>
          <t>24V Heater Cartridge (slim wires)</t>
        </is>
      </c>
      <c r="C38" s="24" t="n"/>
      <c r="D38" s="24" t="inlineStr">
        <is>
          <t>1</t>
        </is>
      </c>
      <c r="E38" s="24" t="inlineStr">
        <is>
          <t>All</t>
        </is>
      </c>
      <c r="F38" s="25">
        <f>HYPERLINK("https://amzn.to/2VJlFAu","Amazon [Affiliate Link]")</f>
        <v/>
      </c>
      <c r="G38" s="24" t="n"/>
      <c r="H38" s="24" t="n"/>
      <c r="I38" s="24" t="n"/>
      <c r="J38" s="24" t="n"/>
      <c r="K38" s="24" t="n"/>
      <c r="L38" s="24" t="n"/>
      <c r="M38" s="24" t="n"/>
      <c r="N38" s="24" t="n"/>
      <c r="O38" s="24" t="n"/>
      <c r="P38" s="24" t="n"/>
      <c r="Q38" s="24" t="n"/>
      <c r="R38" s="24" t="n"/>
      <c r="S38" s="24" t="n"/>
      <c r="T38" s="24" t="n"/>
      <c r="U38" s="27" t="inlineStr">
        <is>
          <t>this heater cart is known to have wires that work with the tight toolhead wire routing</t>
        </is>
      </c>
      <c r="V38" s="24" t="n"/>
    </row>
    <row r="39">
      <c r="A39" s="24" t="inlineStr">
        <is>
          <t>Electronics</t>
        </is>
      </c>
      <c r="B39" s="24" t="inlineStr">
        <is>
          <t>Thermistor for your hotend of choice</t>
        </is>
      </c>
      <c r="C39" s="24" t="n"/>
      <c r="D39" s="24" t="inlineStr">
        <is>
          <t>1</t>
        </is>
      </c>
      <c r="E39" s="24" t="inlineStr">
        <is>
          <t>All</t>
        </is>
      </c>
      <c r="F39" s="25">
        <f>HYPERLINK("https://s.click.aliexpress.com/e/_dZx4X0S","Aliexpress")</f>
        <v/>
      </c>
      <c r="G39" s="24" t="n"/>
      <c r="H39" s="24" t="n"/>
      <c r="I39" s="24" t="n"/>
      <c r="J39" s="24" t="n"/>
      <c r="K39" s="24" t="n"/>
      <c r="L39" s="24" t="n"/>
      <c r="M39" s="24" t="n"/>
      <c r="N39" s="24" t="n"/>
      <c r="O39" s="24" t="n"/>
      <c r="P39" s="24" t="n"/>
      <c r="Q39" s="24" t="n"/>
      <c r="R39" s="24" t="n"/>
      <c r="S39" s="24" t="n"/>
      <c r="T39" s="24" t="n"/>
      <c r="U39" s="24" t="n"/>
      <c r="V39" s="24" t="n"/>
    </row>
    <row r="40">
      <c r="A40" s="24" t="inlineStr">
        <is>
          <t>Electronics</t>
        </is>
      </c>
      <c r="B40" s="24" t="inlineStr">
        <is>
          <t>Nylon PCB Standoff Kit (M3)</t>
        </is>
      </c>
      <c r="C40" s="24" t="n"/>
      <c r="D40" s="24" t="inlineStr">
        <is>
          <t>1</t>
        </is>
      </c>
      <c r="E40" s="24" t="inlineStr">
        <is>
          <t>All</t>
        </is>
      </c>
      <c r="F40" s="24" t="inlineStr">
        <is>
          <t>print them</t>
        </is>
      </c>
      <c r="G40" s="24" t="n"/>
      <c r="H40" s="24" t="n"/>
      <c r="I40" s="24" t="n"/>
      <c r="J40" s="24" t="n"/>
      <c r="K40" s="24" t="n"/>
      <c r="L40" s="24" t="n"/>
      <c r="M40" s="24" t="n"/>
      <c r="N40" s="24" t="n"/>
      <c r="O40" s="24" t="n"/>
      <c r="P40" s="24" t="n"/>
      <c r="Q40" s="24" t="n"/>
      <c r="R40" s="24" t="n"/>
      <c r="S40" s="24" t="n"/>
      <c r="T40" s="24" t="n"/>
      <c r="U40" s="24" t="n"/>
      <c r="V40" s="28" t="inlineStr">
        <is>
          <t>all links were dead</t>
        </is>
      </c>
    </row>
    <row r="41">
      <c r="A41" s="24" t="inlineStr">
        <is>
          <t>Electronics</t>
        </is>
      </c>
      <c r="B41" s="24" t="inlineStr">
        <is>
          <t>VHB tape (20mm or so is good)</t>
        </is>
      </c>
      <c r="C41" s="24" t="n"/>
      <c r="D41" s="24" t="inlineStr">
        <is>
          <t>1</t>
        </is>
      </c>
      <c r="E41" s="24" t="inlineStr">
        <is>
          <t>All</t>
        </is>
      </c>
      <c r="F41" s="24" t="n"/>
      <c r="G41" s="24" t="n"/>
      <c r="H41" s="24" t="n"/>
      <c r="I41" s="24" t="n"/>
      <c r="J41" s="24" t="n"/>
      <c r="K41" s="24" t="n"/>
      <c r="L41" s="24" t="n"/>
      <c r="M41" s="24" t="n"/>
      <c r="N41" s="24" t="n"/>
      <c r="O41" s="24" t="n"/>
      <c r="P41" s="24" t="n"/>
      <c r="Q41" s="24" t="n"/>
      <c r="R41" s="24" t="n"/>
      <c r="S41" s="24" t="n"/>
      <c r="T41" s="24" t="n"/>
      <c r="U41" s="24" t="n"/>
      <c r="V41" s="28" t="inlineStr">
        <is>
          <t>all links were dead</t>
        </is>
      </c>
    </row>
    <row r="42">
      <c r="A42" s="40" t="inlineStr">
        <is>
          <t>Cables</t>
        </is>
      </c>
      <c r="B42" s="40" t="inlineStr">
        <is>
          <t>Insulated Crimp Receptical</t>
        </is>
      </c>
      <c r="C42" s="40" t="n"/>
      <c r="D42" s="40" t="inlineStr">
        <is>
          <t>4</t>
        </is>
      </c>
      <c r="E42" s="40" t="inlineStr">
        <is>
          <t>All</t>
        </is>
      </c>
      <c r="F42" s="41">
        <f>HYPERLINK("https://www.digikey.com/products/en","Digikey")</f>
        <v/>
      </c>
      <c r="G42" s="40" t="n"/>
      <c r="H42" s="43">
        <f>HYPERLINK("https://www.digikey.com/product-detail/en/te-connectivity-amp-connectors/2-520181-2/A27804TR-ND/289246","Digikey")</f>
        <v/>
      </c>
      <c r="I42" s="40" t="n"/>
      <c r="J42" s="40" t="inlineStr">
        <is>
          <t>direct solder</t>
        </is>
      </c>
      <c r="K42" s="40" t="n"/>
      <c r="L42" s="40" t="n"/>
      <c r="M42" s="40" t="n"/>
      <c r="N42" s="40" t="n"/>
      <c r="O42" s="40" t="n"/>
      <c r="P42" s="40" t="n"/>
      <c r="Q42" s="40" t="n"/>
      <c r="R42" s="40" t="n"/>
      <c r="S42" s="40" t="n"/>
      <c r="T42" s="40" t="n"/>
      <c r="U42" s="42" t="inlineStr">
        <is>
          <t>for connecting to crydom ssr</t>
        </is>
      </c>
      <c r="V42" s="40" t="n"/>
    </row>
    <row r="43">
      <c r="A43" s="40" t="inlineStr">
        <is>
          <t>Cables</t>
        </is>
      </c>
      <c r="B43" s="40" t="inlineStr">
        <is>
          <t>Silicon Wire 24gauge 100ft (individual strand length total [example: 25ft of 4p wire=100ft])</t>
        </is>
      </c>
      <c r="C43" s="40" t="n"/>
      <c r="D43" s="40" t="inlineStr">
        <is>
          <t>1</t>
        </is>
      </c>
      <c r="E43" s="40" t="inlineStr">
        <is>
          <t>All</t>
        </is>
      </c>
      <c r="F43" s="41">
        <f>HYPERLINK("https://s.click.aliexpress.com/e/_dTGC7SE","Aliexpress")</f>
        <v/>
      </c>
      <c r="G43" s="40" t="n"/>
      <c r="H43" s="40" t="n"/>
      <c r="I43" s="40" t="n"/>
      <c r="J43" s="40" t="n"/>
      <c r="K43" s="40" t="n"/>
      <c r="L43" s="40" t="n"/>
      <c r="M43" s="40" t="n"/>
      <c r="N43" s="40" t="n"/>
      <c r="O43" s="40" t="n"/>
      <c r="P43" s="40" t="n"/>
      <c r="Q43" s="40" t="n"/>
      <c r="R43" s="40" t="n"/>
      <c r="S43" s="40" t="n"/>
      <c r="T43" s="40" t="n"/>
      <c r="U43" s="40" t="n"/>
      <c r="V43" s="44" t="inlineStr">
        <is>
          <t>some links were dead</t>
        </is>
      </c>
    </row>
    <row r="44">
      <c r="A44" s="40" t="inlineStr">
        <is>
          <t>Cables</t>
        </is>
      </c>
      <c r="B44" s="40" t="inlineStr">
        <is>
          <t>Thermal Fuse 125C</t>
        </is>
      </c>
      <c r="C44" s="40" t="n"/>
      <c r="D44" s="40" t="inlineStr">
        <is>
          <t>1</t>
        </is>
      </c>
      <c r="E44" s="40" t="inlineStr">
        <is>
          <t>All</t>
        </is>
      </c>
      <c r="F44" s="40" t="n"/>
      <c r="G44" s="40" t="n"/>
      <c r="H44" s="40" t="n"/>
      <c r="I44" s="40" t="n"/>
      <c r="J44" s="40" t="n"/>
      <c r="K44" s="40" t="n"/>
      <c r="L44" s="40" t="n"/>
      <c r="M44" s="40" t="n"/>
      <c r="N44" s="40" t="n"/>
      <c r="O44" s="40" t="n"/>
      <c r="P44" s="40" t="n"/>
      <c r="Q44" s="40" t="n"/>
      <c r="R44" s="40" t="n"/>
      <c r="S44" s="40" t="n"/>
      <c r="T44" s="40" t="n"/>
      <c r="U44" s="40" t="n"/>
      <c r="V44" s="44" t="inlineStr">
        <is>
          <t>all links were dead</t>
        </is>
      </c>
    </row>
    <row r="45">
      <c r="A45" s="40" t="inlineStr">
        <is>
          <t>Cables</t>
        </is>
      </c>
      <c r="B45" s="40" t="inlineStr">
        <is>
          <t>JST connectors (2pin,3pin,4pin)</t>
        </is>
      </c>
      <c r="C45" s="40" t="n"/>
      <c r="D45" s="40" t="inlineStr">
        <is>
          <t>1</t>
        </is>
      </c>
      <c r="E45" s="40" t="inlineStr">
        <is>
          <t>All</t>
        </is>
      </c>
      <c r="F45" s="41">
        <f>HYPERLINK("https://amzn.to/2W3RSl6","Amazon [Affiliate Link]")</f>
        <v/>
      </c>
      <c r="G45" s="40" t="n"/>
      <c r="H45" s="40" t="n"/>
      <c r="I45" s="40" t="n"/>
      <c r="J45" s="40" t="n"/>
      <c r="K45" s="40" t="n"/>
      <c r="L45" s="40" t="n"/>
      <c r="M45" s="40" t="n"/>
      <c r="N45" s="40" t="n"/>
      <c r="O45" s="40" t="n"/>
      <c r="P45" s="40" t="n"/>
      <c r="Q45" s="40" t="n"/>
      <c r="R45" s="40" t="n"/>
      <c r="S45" s="40" t="n"/>
      <c r="T45" s="40" t="n"/>
      <c r="U45" s="40" t="n"/>
      <c r="V45" s="44" t="inlineStr">
        <is>
          <t>some links were dead</t>
        </is>
      </c>
    </row>
    <row r="46">
      <c r="A46" s="40" t="inlineStr">
        <is>
          <t>Cables</t>
        </is>
      </c>
      <c r="B46" s="40" t="inlineStr">
        <is>
          <t>Microfit3 Dual Row (10circuits) Male &amp; Female Plug</t>
        </is>
      </c>
      <c r="C46" s="40" t="n"/>
      <c r="D46" s="40" t="inlineStr">
        <is>
          <t>1</t>
        </is>
      </c>
      <c r="E46" s="40" t="inlineStr">
        <is>
          <t>All</t>
        </is>
      </c>
      <c r="F46" s="41">
        <f>HYPERLINK("https://www.arrow.com/en/products/76650-0159/molex","Arrow")</f>
        <v/>
      </c>
      <c r="G46" s="40" t="n"/>
      <c r="H46" s="40" t="inlineStr">
        <is>
          <t>direct solder</t>
        </is>
      </c>
      <c r="I46" s="40" t="n"/>
      <c r="J46" s="40" t="n"/>
      <c r="K46" s="40" t="n"/>
      <c r="L46" s="40" t="n"/>
      <c r="M46" s="40" t="n"/>
      <c r="N46" s="40" t="n"/>
      <c r="O46" s="40" t="n"/>
      <c r="P46" s="40" t="n"/>
      <c r="Q46" s="40" t="n"/>
      <c r="R46" s="40" t="n"/>
      <c r="S46" s="40" t="n"/>
      <c r="T46" s="40" t="n"/>
      <c r="U46" s="42" t="inlineStr">
        <is>
          <t>full kit, you dont HAVE to use a single connector use as many or as few as you want</t>
        </is>
      </c>
      <c r="V46" s="40" t="n"/>
    </row>
    <row r="47">
      <c r="A47" s="40" t="inlineStr">
        <is>
          <t>Cables</t>
        </is>
      </c>
      <c r="B47" s="40" t="inlineStr">
        <is>
          <t>7mm x 7mm cable chain (less than 1/2 meter needed)</t>
        </is>
      </c>
      <c r="C47" s="40" t="n"/>
      <c r="D47" s="40" t="inlineStr">
        <is>
          <t>1</t>
        </is>
      </c>
      <c r="E47" s="40" t="inlineStr">
        <is>
          <t>All</t>
        </is>
      </c>
      <c r="F47" s="41">
        <f>HYPERLINK("https://amzn.to/2VIUE08","Amazon [Affiliate Link]")</f>
        <v/>
      </c>
      <c r="G47" s="40" t="n"/>
      <c r="H47" s="40" t="inlineStr">
        <is>
          <t>printed belt chain</t>
        </is>
      </c>
      <c r="I47" s="40" t="n"/>
      <c r="J47" s="40" t="n"/>
      <c r="K47" s="40" t="n"/>
      <c r="L47" s="40" t="n"/>
      <c r="M47" s="40" t="n"/>
      <c r="N47" s="40" t="n"/>
      <c r="O47" s="40" t="n"/>
      <c r="P47" s="40" t="n"/>
      <c r="Q47" s="40" t="n"/>
      <c r="R47" s="40" t="n"/>
      <c r="S47" s="40" t="n"/>
      <c r="T47" s="40" t="n"/>
      <c r="U47" s="40" t="n"/>
      <c r="V47" s="40" t="n"/>
    </row>
    <row r="48">
      <c r="A48" s="14" t="inlineStr">
        <is>
          <t>Motion</t>
        </is>
      </c>
      <c r="B48" s="14" t="inlineStr">
        <is>
          <t>F623-RS Bearing</t>
        </is>
      </c>
      <c r="C48" s="14" t="n"/>
      <c r="D48" s="14" t="inlineStr">
        <is>
          <t>20</t>
        </is>
      </c>
      <c r="E48" s="14" t="inlineStr">
        <is>
          <t>All</t>
        </is>
      </c>
      <c r="F48" s="15">
        <f>HYPERLINK("https://s.click.aliexpress.com/e/_AOxtwP","Aliexpress")</f>
        <v/>
      </c>
      <c r="G48" s="14" t="n"/>
      <c r="H48" s="16">
        <f>HYPERLINK("https://s.click.aliexpress.com/e/_d6E3oIC","Aliexpress")</f>
        <v/>
      </c>
      <c r="I48" s="14" t="n"/>
      <c r="J48" s="14" t="n"/>
      <c r="K48" s="14" t="n"/>
      <c r="L48" s="14" t="n"/>
      <c r="M48" s="14" t="n"/>
      <c r="N48" s="14" t="n"/>
      <c r="O48" s="14" t="n"/>
      <c r="P48" s="14" t="n"/>
      <c r="Q48" s="14" t="n"/>
      <c r="R48" s="14" t="n"/>
      <c r="S48" s="14" t="n"/>
      <c r="T48" s="14" t="n"/>
      <c r="U48" s="14" t="n"/>
      <c r="V48" s="18" t="inlineStr">
        <is>
          <t>some links were dead</t>
        </is>
      </c>
    </row>
    <row r="49">
      <c r="A49" s="14" t="inlineStr">
        <is>
          <t>Motion</t>
        </is>
      </c>
      <c r="B49" s="14" t="inlineStr">
        <is>
          <t>F688-RS Bearing</t>
        </is>
      </c>
      <c r="C49" s="14" t="n"/>
      <c r="D49" s="14" t="inlineStr">
        <is>
          <t>1</t>
        </is>
      </c>
      <c r="E49" s="14" t="inlineStr">
        <is>
          <t>All</t>
        </is>
      </c>
      <c r="F49" s="15">
        <f>HYPERLINK("https://s.click.aliexpress.com/e/_d8sMqn6","Aliexpress")</f>
        <v/>
      </c>
      <c r="G49" s="14" t="n"/>
      <c r="H49" s="16">
        <f>HYPERLINK("https://s.click.aliexpress.com/e/_dZVGC8K","F-688 zz")</f>
        <v/>
      </c>
      <c r="I49" s="14" t="n"/>
      <c r="J49" s="14" t="inlineStr">
        <is>
          <t>included in kit</t>
        </is>
      </c>
      <c r="K49" s="14" t="n"/>
      <c r="L49" s="14" t="n"/>
      <c r="M49" s="14" t="n"/>
      <c r="N49" s="14" t="n"/>
      <c r="O49" s="14" t="n"/>
      <c r="P49" s="14" t="n"/>
      <c r="Q49" s="14" t="n"/>
      <c r="R49" s="14" t="n"/>
      <c r="S49" s="14" t="n"/>
      <c r="T49" s="14" t="n"/>
      <c r="U49" s="14" t="n"/>
      <c r="V49" s="14" t="n"/>
    </row>
    <row r="50">
      <c r="A50" s="14" t="inlineStr">
        <is>
          <t>Motion</t>
        </is>
      </c>
      <c r="B50" s="14" t="inlineStr">
        <is>
          <t>KFL08 pillow bearing 8mm ID</t>
        </is>
      </c>
      <c r="C50" s="14" t="n"/>
      <c r="D50" s="14" t="inlineStr">
        <is>
          <t>1</t>
        </is>
      </c>
      <c r="E50" s="14" t="inlineStr">
        <is>
          <t>All</t>
        </is>
      </c>
      <c r="F50" s="14" t="inlineStr">
        <is>
          <t>included in kit</t>
        </is>
      </c>
      <c r="G50" s="14" t="n"/>
      <c r="H50" s="14" t="n"/>
      <c r="I50" s="14" t="n"/>
      <c r="J50" s="14" t="n"/>
      <c r="K50" s="14" t="n"/>
      <c r="L50" s="14" t="n"/>
      <c r="M50" s="14" t="n"/>
      <c r="N50" s="14" t="n"/>
      <c r="O50" s="14" t="n"/>
      <c r="P50" s="14" t="n"/>
      <c r="Q50" s="14" t="n"/>
      <c r="R50" s="14" t="n"/>
      <c r="S50" s="14" t="n"/>
      <c r="T50" s="14" t="n"/>
      <c r="U50" s="14" t="n"/>
      <c r="V50" s="18" t="inlineStr">
        <is>
          <t>all links were dead</t>
        </is>
      </c>
    </row>
    <row r="51">
      <c r="A51" s="14" t="inlineStr">
        <is>
          <t>Motion</t>
        </is>
      </c>
      <c r="B51" s="14" t="inlineStr">
        <is>
          <t>MGN7H Linear Rail with Carriage (150mm)</t>
        </is>
      </c>
      <c r="C51" s="14" t="n"/>
      <c r="D51" s="14" t="inlineStr">
        <is>
          <t>5</t>
        </is>
      </c>
      <c r="E51" s="14" t="inlineStr">
        <is>
          <t>All</t>
        </is>
      </c>
      <c r="F51" s="15">
        <f>HYPERLINK("https://www.aliexpress.com/item/32880801484.html","CNA Mechanical")</f>
        <v/>
      </c>
      <c r="G51" s="14" t="n"/>
      <c r="H51" s="14" t="n"/>
      <c r="I51" s="14" t="n"/>
      <c r="J51" s="14" t="n"/>
      <c r="K51" s="14" t="n"/>
      <c r="L51" s="14" t="n"/>
      <c r="M51" s="14" t="n"/>
      <c r="N51" s="14" t="n"/>
      <c r="O51" s="14" t="n"/>
      <c r="P51" s="14" t="n"/>
      <c r="Q51" s="14" t="n"/>
      <c r="R51" s="14" t="n"/>
      <c r="S51" s="14" t="n"/>
      <c r="T51" s="14" t="n"/>
      <c r="U51" s="14" t="n"/>
      <c r="V51" s="18" t="inlineStr">
        <is>
          <t>some links were dead</t>
        </is>
      </c>
    </row>
    <row r="52">
      <c r="A52" s="14" t="inlineStr">
        <is>
          <t>Motion</t>
        </is>
      </c>
      <c r="B52" s="14" t="inlineStr">
        <is>
          <t>GT2 16T Toothed idler w/bearing (6mm wide) (3mm bore) (13mmOD)</t>
        </is>
      </c>
      <c r="C52" s="14" t="n"/>
      <c r="D52" s="14" t="inlineStr">
        <is>
          <t>2</t>
        </is>
      </c>
      <c r="E52" s="14" t="inlineStr">
        <is>
          <t>All</t>
        </is>
      </c>
      <c r="F52" s="15">
        <f>HYPERLINK("https://amzn.to/3eiB1CM","Amazon")</f>
        <v/>
      </c>
      <c r="G52" s="14" t="n"/>
      <c r="H52" s="14" t="inlineStr">
        <is>
          <t>included in kit</t>
        </is>
      </c>
      <c r="I52" s="14" t="n"/>
      <c r="J52" s="14" t="n"/>
      <c r="K52" s="14" t="n"/>
      <c r="L52" s="14" t="n"/>
      <c r="M52" s="14" t="n"/>
      <c r="N52" s="14" t="n"/>
      <c r="O52" s="14" t="n"/>
      <c r="P52" s="14" t="n"/>
      <c r="Q52" s="14" t="n"/>
      <c r="R52" s="14" t="n"/>
      <c r="S52" s="14" t="n"/>
      <c r="T52" s="14" t="n"/>
      <c r="U52" s="14" t="n"/>
      <c r="V52" s="14" t="n"/>
    </row>
    <row r="53">
      <c r="A53" s="14" t="inlineStr">
        <is>
          <t>Motion</t>
        </is>
      </c>
      <c r="B53" s="14" t="inlineStr">
        <is>
          <t>GT2 20T (6mm wide) (8mm bore)</t>
        </is>
      </c>
      <c r="C53" s="14" t="n"/>
      <c r="D53" s="14" t="inlineStr">
        <is>
          <t>1</t>
        </is>
      </c>
      <c r="E53" s="14" t="inlineStr">
        <is>
          <t>All</t>
        </is>
      </c>
      <c r="F53" s="15">
        <f>HYPERLINK("https://s.click.aliexpress.com/e/_dYtoM9A","Aliexpress")</f>
        <v/>
      </c>
      <c r="G53" s="14" t="n"/>
      <c r="H53" s="14" t="inlineStr">
        <is>
          <t>included in kit</t>
        </is>
      </c>
      <c r="I53" s="14" t="n"/>
      <c r="J53" s="14" t="n"/>
      <c r="K53" s="14" t="n"/>
      <c r="L53" s="14" t="n"/>
      <c r="M53" s="14" t="n"/>
      <c r="N53" s="14" t="n"/>
      <c r="O53" s="14" t="n"/>
      <c r="P53" s="14" t="n"/>
      <c r="Q53" s="14" t="n"/>
      <c r="R53" s="14" t="n"/>
      <c r="S53" s="14" t="n"/>
      <c r="T53" s="14" t="n"/>
      <c r="U53" s="14" t="n"/>
      <c r="V53" s="14" t="n"/>
    </row>
    <row r="54">
      <c r="A54" s="14" t="inlineStr">
        <is>
          <t>Motion</t>
        </is>
      </c>
      <c r="B54" s="14" t="inlineStr">
        <is>
          <t>GT2 20T (6mm wide) Pulley (5mm bore)</t>
        </is>
      </c>
      <c r="C54" s="14" t="n"/>
      <c r="D54" s="14" t="inlineStr">
        <is>
          <t>3</t>
        </is>
      </c>
      <c r="E54" s="14" t="inlineStr">
        <is>
          <t>All</t>
        </is>
      </c>
      <c r="F54" s="15">
        <f>HYPERLINK("https://www.aliexpress.com/item/32226562320.html","POWGE")</f>
        <v/>
      </c>
      <c r="G54" s="16">
        <f>HYPERLINK("https://s.click.aliexpress.com/e/E1Y0mkUu","[Affiliate Link]")</f>
        <v/>
      </c>
      <c r="H54" s="16">
        <f>HYPERLINK("https://s.click.aliexpress.com/e/_AqN4lx","Aliexpress")</f>
        <v/>
      </c>
      <c r="I54" s="14" t="n"/>
      <c r="J54" s="16">
        <f>HYPERLINK("https://s.click.aliexpress.com/e/E1Y0mkUu","AliExpress")</f>
        <v/>
      </c>
      <c r="K54" s="16">
        <f>HYPERLINK("https://s.click.aliexpress.com/e/_dYtoM9A","Aliexpress")</f>
        <v/>
      </c>
      <c r="L54" s="14" t="n"/>
      <c r="M54" s="14" t="inlineStr">
        <is>
          <t>included in kit</t>
        </is>
      </c>
      <c r="N54" s="14" t="n"/>
      <c r="O54" s="14" t="n"/>
      <c r="P54" s="14" t="n"/>
      <c r="Q54" s="14" t="n"/>
      <c r="R54" s="14" t="n"/>
      <c r="S54" s="14" t="n"/>
      <c r="T54" s="14" t="n"/>
      <c r="U54" s="14" t="n"/>
      <c r="V54" s="14" t="n"/>
    </row>
    <row r="55">
      <c r="A55" s="14" t="inlineStr">
        <is>
          <t>Motion</t>
        </is>
      </c>
      <c r="B55" s="14" t="inlineStr">
        <is>
          <t>GT2 Open Belt 6mm (2 meters)</t>
        </is>
      </c>
      <c r="C55" s="14" t="n"/>
      <c r="D55" s="14" t="inlineStr">
        <is>
          <t>1</t>
        </is>
      </c>
      <c r="E55" s="14" t="inlineStr">
        <is>
          <t>All</t>
        </is>
      </c>
      <c r="F55" s="15">
        <f>HYPERLINK("https://s.click.aliexpress.com/e/_dZ6ZPZ2","Aliexpress")</f>
        <v/>
      </c>
      <c r="G55" s="14" t="n"/>
      <c r="H55" s="14" t="inlineStr">
        <is>
          <t>included in kit</t>
        </is>
      </c>
      <c r="I55" s="14" t="n"/>
      <c r="J55" s="14" t="n"/>
      <c r="K55" s="14" t="n"/>
      <c r="L55" s="14" t="n"/>
      <c r="M55" s="14" t="n"/>
      <c r="N55" s="14" t="n"/>
      <c r="O55" s="14" t="n"/>
      <c r="P55" s="14" t="n"/>
      <c r="Q55" s="14" t="n"/>
      <c r="R55" s="14" t="n"/>
      <c r="S55" s="14" t="n"/>
      <c r="T55" s="14" t="n"/>
      <c r="U55" s="14" t="n"/>
      <c r="V55" s="14" t="n"/>
    </row>
    <row r="56">
      <c r="A56" s="14" t="inlineStr">
        <is>
          <t>Motion</t>
        </is>
      </c>
      <c r="B56" s="14" t="inlineStr">
        <is>
          <t>110 gt2 belt loop</t>
        </is>
      </c>
      <c r="C56" s="14" t="n"/>
      <c r="D56" s="14" t="inlineStr">
        <is>
          <t>1</t>
        </is>
      </c>
      <c r="E56" s="14" t="inlineStr">
        <is>
          <t>All</t>
        </is>
      </c>
      <c r="F56" s="14" t="inlineStr">
        <is>
          <t>included in kit</t>
        </is>
      </c>
      <c r="G56" s="14" t="n"/>
      <c r="H56" s="14" t="n"/>
      <c r="I56" s="14" t="n"/>
      <c r="J56" s="14" t="n"/>
      <c r="K56" s="14" t="n"/>
      <c r="L56" s="14" t="n"/>
      <c r="M56" s="14" t="n"/>
      <c r="N56" s="14" t="n"/>
      <c r="O56" s="14" t="n"/>
      <c r="P56" s="14" t="n"/>
      <c r="Q56" s="14" t="n"/>
      <c r="R56" s="14" t="n"/>
      <c r="S56" s="14" t="n"/>
      <c r="T56" s="14" t="n"/>
      <c r="U56" s="14" t="n"/>
      <c r="V56" s="18" t="inlineStr">
        <is>
          <t>all links were dead</t>
        </is>
      </c>
    </row>
    <row r="57">
      <c r="A57" s="14" t="inlineStr">
        <is>
          <t>Motion</t>
        </is>
      </c>
      <c r="B57" s="14" t="inlineStr">
        <is>
          <t>8mm T8x8 Trapezoidal ACME Lead Screw 200mm (8mm lead)</t>
        </is>
      </c>
      <c r="C57" s="14" t="n"/>
      <c r="D57" s="14" t="inlineStr">
        <is>
          <t>1</t>
        </is>
      </c>
      <c r="E57" s="14" t="inlineStr">
        <is>
          <t>All</t>
        </is>
      </c>
      <c r="F57" s="15">
        <f>HYPERLINK("https://s.click.aliexpress.com/e/_dXySUv6","Aliexpress")</f>
        <v/>
      </c>
      <c r="G57" s="14" t="n"/>
      <c r="H57" s="14" t="n"/>
      <c r="I57" s="14" t="n"/>
      <c r="J57" s="14" t="n"/>
      <c r="K57" s="14" t="n"/>
      <c r="L57" s="14" t="n"/>
      <c r="M57" s="14" t="n"/>
      <c r="N57" s="14" t="n"/>
      <c r="O57" s="14" t="n"/>
      <c r="P57" s="14" t="n"/>
      <c r="Q57" s="14" t="n"/>
      <c r="R57" s="14" t="n"/>
      <c r="S57" s="14" t="n"/>
      <c r="T57" s="14" t="n"/>
      <c r="U57" s="14" t="n"/>
      <c r="V57" s="18" t="inlineStr">
        <is>
          <t>some links were dead</t>
        </is>
      </c>
    </row>
    <row r="58">
      <c r="A58" s="14" t="inlineStr">
        <is>
          <t>Motion</t>
        </is>
      </c>
      <c r="B58" s="14" t="inlineStr">
        <is>
          <t>T8 flange Nut 8mm Lead --anti-backlash prefered-- (SEE NOTE SECTION)</t>
        </is>
      </c>
      <c r="C58" s="14" t="n"/>
      <c r="D58" s="14" t="inlineStr">
        <is>
          <t>1</t>
        </is>
      </c>
      <c r="E58" s="14" t="inlineStr">
        <is>
          <t>All</t>
        </is>
      </c>
      <c r="F58" s="15">
        <f>HYPERLINK("https://www.amazon.com/dp/B088FPNVVF","Amazon")</f>
        <v/>
      </c>
      <c r="G58" s="14" t="n"/>
      <c r="H58" s="16">
        <f>HYPERLINK("https://s.click.aliexpress.com/e/_dSL2ALg","Aliexpress")</f>
        <v/>
      </c>
      <c r="I58" s="14" t="n"/>
      <c r="J58" s="14" t="n"/>
      <c r="K58" s="14" t="n"/>
      <c r="L58" s="14" t="n"/>
      <c r="M58" s="14" t="n"/>
      <c r="N58" s="14" t="n"/>
      <c r="O58" s="14" t="n"/>
      <c r="P58" s="14" t="n"/>
      <c r="Q58" s="14" t="n"/>
      <c r="R58" s="14" t="n"/>
      <c r="S58" s="14" t="n"/>
      <c r="T58" s="14" t="n"/>
      <c r="U58" s="17" t="inlineStr">
        <is>
          <t>anti-backlash nuts commonly come in two sides 18mm hole spacing with a 24mmOD or a 16mm hole spacing with 22mmOD, the later will require you do add a flat to one side by hand. either option will work just make sure you print the part that matched your nut. there is a tool in the STL file to help with adding the flats to a full round nut.</t>
        </is>
      </c>
      <c r="V58" s="18" t="inlineStr">
        <is>
          <t>some links were dead</t>
        </is>
      </c>
    </row>
    <row r="59">
      <c r="A59" s="48" t="inlineStr">
        <is>
          <t>Buildplate</t>
        </is>
      </c>
      <c r="B59" s="48" t="inlineStr">
        <is>
          <t>Aluminum Build Plate (MIC6/ATP-5/Jig Plate/etc) 120x120mm (4.75inx4.75in) (1/4in or 6mm depending on whats available in your country)</t>
        </is>
      </c>
      <c r="C59" s="48" t="n"/>
      <c r="D59" s="48" t="inlineStr">
        <is>
          <t>1</t>
        </is>
      </c>
      <c r="E59" s="48" t="inlineStr">
        <is>
          <t>All</t>
        </is>
      </c>
      <c r="F59" s="49">
        <f>HYPERLINK("https://clever3d.de/epages/7a4290fc-7c7f-46cc-9b99-eadef22228e2.sf/en_US?ObjectPath=%2FShops%2F7a4290fc-7c7f-46cc-9b99-eadef22228e2%2FProducts%2FAluGuss8mm","Clever3D.de")</f>
        <v/>
      </c>
      <c r="G59" s="48" t="n"/>
      <c r="H59" s="48" t="n"/>
      <c r="I59" s="48" t="n"/>
      <c r="J59" s="48" t="n"/>
      <c r="K59" s="48" t="n"/>
      <c r="L59" s="48" t="n"/>
      <c r="M59" s="48" t="n"/>
      <c r="N59" s="48" t="n"/>
      <c r="O59" s="48" t="n"/>
      <c r="P59" s="48" t="n"/>
      <c r="Q59" s="48" t="n"/>
      <c r="R59" s="48" t="n"/>
      <c r="S59" s="48" t="n"/>
      <c r="T59" s="48" t="n"/>
      <c r="U59" s="50" t="inlineStr">
        <is>
          <t>Thicker material is fine too, just keep in mind your heat up times will greatly increase and youll lose z heght for however much thicker you go</t>
        </is>
      </c>
      <c r="V59" s="48" t="n"/>
    </row>
    <row r="60">
      <c r="A60" s="48" t="inlineStr">
        <is>
          <t>Buildplate</t>
        </is>
      </c>
      <c r="B60" s="48" t="inlineStr">
        <is>
          <t>Silicone AC 120V/240V Heater 100x100mm 100W</t>
        </is>
      </c>
      <c r="C60" s="48" t="n"/>
      <c r="D60" s="48" t="inlineStr">
        <is>
          <t>1</t>
        </is>
      </c>
      <c r="E60" s="48" t="inlineStr">
        <is>
          <t>All</t>
        </is>
      </c>
      <c r="F60" s="49">
        <f>HYPERLINK("https://keenovo.store/collections/standard-keenovo-silicone-heaters/products/keenovo-square-silicone-heater-3d-printer-build-plate-heatbed-heating-pad?variant=8324020666423","Keenovo")</f>
        <v/>
      </c>
      <c r="G60" s="48" t="n"/>
      <c r="H60" s="48" t="n"/>
      <c r="I60" s="48" t="n"/>
      <c r="J60" s="48" t="n"/>
      <c r="K60" s="48" t="n"/>
      <c r="L60" s="48" t="n"/>
      <c r="M60" s="48" t="n"/>
      <c r="N60" s="48" t="n"/>
      <c r="O60" s="48" t="n"/>
      <c r="P60" s="48" t="n"/>
      <c r="Q60" s="48" t="n"/>
      <c r="R60" s="48" t="n"/>
      <c r="S60" s="48" t="n"/>
      <c r="T60" s="48" t="n"/>
      <c r="U60" s="48" t="n"/>
      <c r="V60" s="52" t="inlineStr">
        <is>
          <t>some links were dead</t>
        </is>
      </c>
    </row>
    <row r="61">
      <c r="A61" s="48" t="inlineStr">
        <is>
          <t>Buildplate</t>
        </is>
      </c>
      <c r="B61" s="48" t="inlineStr">
        <is>
          <t>PEI + 3M 468P (200MP)</t>
        </is>
      </c>
      <c r="C61" s="48" t="n"/>
      <c r="D61" s="48" t="inlineStr">
        <is>
          <t>1</t>
        </is>
      </c>
      <c r="E61" s="48" t="inlineStr">
        <is>
          <t>All</t>
        </is>
      </c>
      <c r="F61" s="49">
        <f>HYPERLINK("https://catalog.cshyde.com/item/pei-ultem/int-surface-10-mil-ultem-pei-w-3m-acrylic-adhesive/36-10a-3d-9-84-12-40","CSHyde (Trim)")</f>
        <v/>
      </c>
      <c r="G61" s="48" t="n"/>
      <c r="H61" s="51">
        <f>HYPERLINK("https://catalog.cshyde.com/item/pei-ultem/int-surface-10-mil-ultem-pei-w-3m-acrylic-adhesive/36-10a-3d-12x12","CSHyde")</f>
        <v/>
      </c>
      <c r="I61" s="48" t="n"/>
      <c r="J61" s="51">
        <f>HYPERLINK("https://catalog.cshyde.com/item/pei-sheet-3d-printing-build-surface/10-mil-ultem-pei-w-3m-acrylic-adhesive/36-10a-3d-4-7x4-7","CS Hyde")</f>
        <v/>
      </c>
      <c r="K61" s="51">
        <f>HYPERLINK("https://catalog.cshyde.com/item/pei-ultem/int-surface-10-mil-ultem-pei-w-3m-acrylic-adhesive/36-10a-3d-14x14","CSHyde")</f>
        <v/>
      </c>
      <c r="L61" s="48" t="n"/>
      <c r="M61" s="48" t="n"/>
      <c r="N61" s="48" t="n"/>
      <c r="O61" s="48" t="n"/>
      <c r="P61" s="48" t="n"/>
      <c r="Q61" s="48" t="n"/>
      <c r="R61" s="48" t="n"/>
      <c r="S61" s="48" t="n"/>
      <c r="T61" s="48" t="n"/>
      <c r="U61" s="50" t="inlineStr">
        <is>
          <t>if you go with the flex plate you dont need extra PEI</t>
        </is>
      </c>
      <c r="V61" s="52" t="inlineStr">
        <is>
          <t>some links were dead</t>
        </is>
      </c>
    </row>
    <row r="62">
      <c r="A62" s="48" t="inlineStr">
        <is>
          <t>Buildplate</t>
        </is>
      </c>
      <c r="B62" s="48" t="inlineStr">
        <is>
          <t>yellow die springs 8x4x20mm</t>
        </is>
      </c>
      <c r="C62" s="48" t="n"/>
      <c r="D62" s="48" t="inlineStr">
        <is>
          <t>3</t>
        </is>
      </c>
      <c r="E62" s="48" t="inlineStr">
        <is>
          <t>All</t>
        </is>
      </c>
      <c r="F62" s="49">
        <f>HYPERLINK("https://s.click.aliexpress.com/e/_dUTJIFD","Aliexpress")</f>
        <v/>
      </c>
      <c r="G62" s="48" t="n"/>
      <c r="H62" s="51">
        <f>HYPERLINK("https://amzn.to/2KGsHzJ","Amazon [Affilaite Link]")</f>
        <v/>
      </c>
      <c r="I62" s="48" t="n"/>
      <c r="J62" s="48" t="n"/>
      <c r="K62" s="48" t="n"/>
      <c r="L62" s="48" t="n"/>
      <c r="M62" s="48" t="n"/>
      <c r="N62" s="48" t="n"/>
      <c r="O62" s="48" t="n"/>
      <c r="P62" s="48" t="n"/>
      <c r="Q62" s="48" t="n"/>
      <c r="R62" s="48" t="n"/>
      <c r="S62" s="48" t="n"/>
      <c r="T62" s="48" t="n"/>
      <c r="U62" s="48" t="n"/>
      <c r="V62" s="48" t="n"/>
    </row>
    <row r="63">
      <c r="A63" s="48" t="inlineStr">
        <is>
          <t>Buildplate</t>
        </is>
      </c>
      <c r="B63" s="48" t="inlineStr">
        <is>
          <t>Spring Steel Flex Buildplate 120x120mm (OPTIONAL)</t>
        </is>
      </c>
      <c r="C63" s="48" t="n"/>
      <c r="D63" s="48" t="inlineStr">
        <is>
          <t>1</t>
        </is>
      </c>
      <c r="E63" s="48" t="inlineStr">
        <is>
          <t>All</t>
        </is>
      </c>
      <c r="F63" s="49">
        <f>HYPERLINK("https://s.click.aliexpress.com/e/_dXbCEmC","Aliexpress")</f>
        <v/>
      </c>
      <c r="G63" s="48" t="n"/>
      <c r="H63" s="48" t="n"/>
      <c r="I63" s="48" t="n"/>
      <c r="J63" s="48" t="n"/>
      <c r="K63" s="48" t="n"/>
      <c r="L63" s="48" t="n"/>
      <c r="M63" s="48" t="n"/>
      <c r="N63" s="48" t="n"/>
      <c r="O63" s="48" t="n"/>
      <c r="P63" s="48" t="n"/>
      <c r="Q63" s="48" t="n"/>
      <c r="R63" s="48" t="n"/>
      <c r="S63" s="48" t="n"/>
      <c r="T63" s="48" t="n"/>
      <c r="U63" s="50" t="inlineStr">
        <is>
          <t>pick texture option for texture plate with smooth on opposite side, smooth option is smooth on both sides, "base" refers to the magnet which is not very good, better to buy a stronger 3rd party one</t>
        </is>
      </c>
      <c r="V63" s="48" t="n"/>
    </row>
    <row r="64">
      <c r="A64" s="45" t="inlineStr">
        <is>
          <t>Panels</t>
        </is>
      </c>
      <c r="B64" s="45" t="inlineStr">
        <is>
          <t>Side Panel 212mm x 230mm x 2.5mm (PC or Acrylic)</t>
        </is>
      </c>
      <c r="C64" s="45" t="n"/>
      <c r="D64" s="45" t="inlineStr">
        <is>
          <t>2</t>
        </is>
      </c>
      <c r="E64" s="45" t="inlineStr">
        <is>
          <t>All</t>
        </is>
      </c>
      <c r="F64" s="46">
        <f>HYPERLINK("https://www.tapplastics.com/product/plastics/cut_to_size_plastic/polycarbonate_sheets/516","TAP Plastic")</f>
        <v/>
      </c>
      <c r="G64" s="45" t="n"/>
      <c r="H64" s="45" t="inlineStr">
        <is>
          <t>3mm foam board</t>
        </is>
      </c>
      <c r="I64" s="45" t="n"/>
      <c r="J64" s="45" t="n"/>
      <c r="K64" s="45" t="n"/>
      <c r="L64" s="45" t="n"/>
      <c r="M64" s="45" t="n"/>
      <c r="N64" s="45" t="n"/>
      <c r="O64" s="45" t="n"/>
      <c r="P64" s="45" t="n"/>
      <c r="Q64" s="45" t="n"/>
      <c r="R64" s="45" t="n"/>
      <c r="S64" s="45" t="n"/>
      <c r="T64" s="45" t="n"/>
      <c r="U64" s="45" t="n"/>
      <c r="V64" s="45" t="n"/>
    </row>
    <row r="65">
      <c r="A65" s="45" t="inlineStr">
        <is>
          <t>Panels</t>
        </is>
      </c>
      <c r="B65" s="45" t="inlineStr">
        <is>
          <t>Front Door 212mm x 239mm x 2.5mm (PC or Acrylic)</t>
        </is>
      </c>
      <c r="C65" s="45" t="n"/>
      <c r="D65" s="45" t="inlineStr">
        <is>
          <t>1</t>
        </is>
      </c>
      <c r="E65" s="45" t="inlineStr">
        <is>
          <t>All</t>
        </is>
      </c>
      <c r="F65" s="46">
        <f>HYPERLINK("https://www.tapplastics.com/product/plastics/cut_to_size_plastic/polycarbonate_sheets/516","TAP Plastic")</f>
        <v/>
      </c>
      <c r="G65" s="45" t="n"/>
      <c r="H65" s="45" t="inlineStr">
        <is>
          <t>3mm foam board</t>
        </is>
      </c>
      <c r="I65" s="45" t="n"/>
      <c r="J65" s="45" t="n"/>
      <c r="K65" s="45" t="n"/>
      <c r="L65" s="45" t="n"/>
      <c r="M65" s="45" t="n"/>
      <c r="N65" s="45" t="n"/>
      <c r="O65" s="45" t="n"/>
      <c r="P65" s="45" t="n"/>
      <c r="Q65" s="45" t="n"/>
      <c r="R65" s="45" t="n"/>
      <c r="S65" s="45" t="n"/>
      <c r="T65" s="45" t="n"/>
      <c r="U65" s="45" t="n"/>
      <c r="V65" s="45" t="n"/>
    </row>
    <row r="66">
      <c r="A66" s="45" t="inlineStr">
        <is>
          <t>Panels</t>
        </is>
      </c>
      <c r="B66" s="45" t="inlineStr">
        <is>
          <t>Rear Panel 212mm x 248mm x 2.5mm (whatever material you want)</t>
        </is>
      </c>
      <c r="C66" s="45" t="n"/>
      <c r="D66" s="45" t="inlineStr">
        <is>
          <t>1</t>
        </is>
      </c>
      <c r="E66" s="45" t="inlineStr">
        <is>
          <t>All</t>
        </is>
      </c>
      <c r="F66" s="46">
        <f>HYPERLINK("https://www.tapplastics.com/product/plastics/cut_to_size_plastic/polycarbonate_sheets/516","TAP Plastic")</f>
        <v/>
      </c>
      <c r="G66" s="45" t="n"/>
      <c r="H66" s="45" t="inlineStr">
        <is>
          <t>3mm foam board</t>
        </is>
      </c>
      <c r="I66" s="45" t="n"/>
      <c r="J66" s="45" t="n"/>
      <c r="K66" s="45" t="n"/>
      <c r="L66" s="45" t="n"/>
      <c r="M66" s="45" t="n"/>
      <c r="N66" s="45" t="n"/>
      <c r="O66" s="45" t="n"/>
      <c r="P66" s="45" t="n"/>
      <c r="Q66" s="45" t="n"/>
      <c r="R66" s="45" t="n"/>
      <c r="S66" s="45" t="n"/>
      <c r="T66" s="45" t="n"/>
      <c r="U66" s="45" t="n"/>
      <c r="V66" s="45" t="n"/>
    </row>
    <row r="67">
      <c r="A67" s="45" t="inlineStr">
        <is>
          <t>Panels</t>
        </is>
      </c>
      <c r="B67" s="45" t="inlineStr">
        <is>
          <t>(Deck front,Deck back, Mid panel) 3mm thick</t>
        </is>
      </c>
      <c r="C67" s="45" t="n"/>
      <c r="D67" s="45" t="inlineStr">
        <is>
          <t>1</t>
        </is>
      </c>
      <c r="E67" s="45" t="inlineStr">
        <is>
          <t>All</t>
        </is>
      </c>
      <c r="F67" s="46">
        <f>HYPERLINK("https://mnlasercutting.com/","MN Laser Cutting")</f>
        <v/>
      </c>
      <c r="G67" s="45" t="n"/>
      <c r="H67" s="45" t="inlineStr">
        <is>
          <t>Hand cut</t>
        </is>
      </c>
      <c r="I67" s="45" t="n"/>
      <c r="J67" s="45" t="n"/>
      <c r="K67" s="45" t="n"/>
      <c r="L67" s="45" t="n"/>
      <c r="M67" s="45" t="n"/>
      <c r="N67" s="45" t="n"/>
      <c r="O67" s="45" t="n"/>
      <c r="P67" s="45" t="n"/>
      <c r="Q67" s="45" t="n"/>
      <c r="R67" s="45" t="n"/>
      <c r="S67" s="45" t="n"/>
      <c r="T67" s="45" t="n"/>
      <c r="U67" s="54" t="inlineStr">
        <is>
          <t>pretty much any resonable plastic as long as its 3mm thick. (ABS is a cheap common option) you can even print them if you want</t>
        </is>
      </c>
      <c r="V67" s="45" t="n"/>
    </row>
    <row r="68">
      <c r="A68" s="45" t="inlineStr">
        <is>
          <t>Panels</t>
        </is>
      </c>
      <c r="B68" s="45" t="inlineStr">
        <is>
          <t>TopHat Panels (OPTIONAL)</t>
        </is>
      </c>
      <c r="C68" s="45" t="n"/>
      <c r="D68" s="45" t="inlineStr">
        <is>
          <t>1</t>
        </is>
      </c>
      <c r="E68" s="45" t="inlineStr">
        <is>
          <t>All</t>
        </is>
      </c>
      <c r="F68" s="46">
        <f>HYPERLINK("https://mnlasercutting.com/","MN Laser Cutting")</f>
        <v/>
      </c>
      <c r="G68" s="45" t="n"/>
      <c r="H68" s="45" t="n"/>
      <c r="I68" s="45" t="n"/>
      <c r="J68" s="45" t="n"/>
      <c r="K68" s="45" t="n"/>
      <c r="L68" s="45" t="n"/>
      <c r="M68" s="45" t="n"/>
      <c r="N68" s="45" t="n"/>
      <c r="O68" s="45" t="n"/>
      <c r="P68" s="45" t="n"/>
      <c r="Q68" s="45" t="n"/>
      <c r="R68" s="45" t="n"/>
      <c r="S68" s="45" t="n"/>
      <c r="T68" s="45" t="n"/>
      <c r="U68" s="45" t="n"/>
      <c r="V68" s="45" t="n"/>
    </row>
    <row r="69">
      <c r="A69" s="56" t="inlineStr">
        <is>
          <t>Bowden</t>
        </is>
      </c>
      <c r="B69" s="56" t="inlineStr">
        <is>
          <t>Bowden Fitting</t>
        </is>
      </c>
      <c r="C69" s="56" t="n"/>
      <c r="D69" s="56" t="inlineStr">
        <is>
          <t>2</t>
        </is>
      </c>
      <c r="E69" s="56" t="inlineStr">
        <is>
          <t>All</t>
        </is>
      </c>
      <c r="F69" s="57">
        <f>HYPERLINK("https://s.click.aliexpress.com/e/_dZNWAU4","TriangleLab")</f>
        <v/>
      </c>
      <c r="G69" s="56" t="n"/>
      <c r="H69" s="58">
        <f>HYPERLINK("https://www.aliexpress.com/item/32934148155.html","TriangleLab")</f>
        <v/>
      </c>
      <c r="I69" s="58">
        <f>HYPERLINK("https://s.click.aliexpress.com/e/klIuTlpI","[Affiliate Link]")</f>
        <v/>
      </c>
      <c r="J69" s="56" t="n"/>
      <c r="K69" s="56" t="n"/>
      <c r="L69" s="56" t="n"/>
      <c r="M69" s="56" t="n"/>
      <c r="N69" s="56" t="n"/>
      <c r="O69" s="56" t="n"/>
      <c r="P69" s="56" t="n"/>
      <c r="Q69" s="56" t="n"/>
      <c r="R69" s="56" t="n"/>
      <c r="S69" s="56" t="n"/>
      <c r="T69" s="56" t="n"/>
      <c r="U69" s="59" t="inlineStr">
        <is>
          <t>on for the hotend one for the Pocketwatch</t>
        </is>
      </c>
      <c r="V69" s="56" t="n"/>
    </row>
    <row r="70">
      <c r="A70" s="56" t="inlineStr">
        <is>
          <t>Bowden</t>
        </is>
      </c>
      <c r="B70" s="56" t="inlineStr">
        <is>
          <t>Bowden Tubing 4mmOD 2mmID (1 meter)</t>
        </is>
      </c>
      <c r="C70" s="56" t="n"/>
      <c r="D70" s="56" t="inlineStr">
        <is>
          <t>1</t>
        </is>
      </c>
      <c r="E70" s="56" t="inlineStr">
        <is>
          <t>All</t>
        </is>
      </c>
      <c r="F70" s="57">
        <f>HYPERLINK("https://s.click.aliexpress.com/e/_dY9tW7w","Aliexpress")</f>
        <v/>
      </c>
      <c r="G70" s="56" t="n"/>
      <c r="H70" s="58">
        <f>HYPERLINK("https://s.click.aliexpress.com/e/_DlmJrQ7","Aliexpress (4mmx3mm)")</f>
        <v/>
      </c>
      <c r="I70" s="56" t="n"/>
      <c r="J70" s="56" t="n"/>
      <c r="K70" s="56" t="n"/>
      <c r="L70" s="56" t="n"/>
      <c r="M70" s="56" t="n"/>
      <c r="N70" s="56" t="n"/>
      <c r="O70" s="56" t="n"/>
      <c r="P70" s="56" t="n"/>
      <c r="Q70" s="56" t="n"/>
      <c r="R70" s="56" t="n"/>
      <c r="S70" s="56" t="n"/>
      <c r="T70" s="56" t="n"/>
      <c r="U70" s="56" t="n"/>
      <c r="V70" s="69" t="inlineStr">
        <is>
          <t>some links were dead</t>
        </is>
      </c>
    </row>
    <row r="71">
      <c r="A71" s="35" t="inlineStr">
        <is>
          <t>Misc</t>
        </is>
      </c>
      <c r="B71" s="35" t="inlineStr">
        <is>
          <t>Little Rubber Feet (14x11x9mm)</t>
        </is>
      </c>
      <c r="C71" s="35" t="n"/>
      <c r="D71" s="35" t="inlineStr">
        <is>
          <t>4</t>
        </is>
      </c>
      <c r="E71" s="35" t="inlineStr">
        <is>
          <t>All</t>
        </is>
      </c>
      <c r="F71" s="36">
        <f>HYPERLINK("https://s.click.aliexpress.com/e/_A8ySFU","Aliexpress")</f>
        <v/>
      </c>
      <c r="G71" s="35" t="n"/>
      <c r="H71" s="35" t="n"/>
      <c r="I71" s="35" t="n"/>
      <c r="J71" s="35" t="n"/>
      <c r="K71" s="35" t="n"/>
      <c r="L71" s="35" t="n"/>
      <c r="M71" s="35" t="n"/>
      <c r="N71" s="35" t="n"/>
      <c r="O71" s="35" t="n"/>
      <c r="P71" s="35" t="n"/>
      <c r="Q71" s="35" t="n"/>
      <c r="R71" s="35" t="n"/>
      <c r="S71" s="35" t="n"/>
      <c r="T71" s="35" t="n"/>
      <c r="U71" s="35" t="n"/>
      <c r="V71" s="38" t="inlineStr">
        <is>
          <t>some links were dead</t>
        </is>
      </c>
    </row>
    <row r="72">
      <c r="A72" s="35" t="inlineStr">
        <is>
          <t>Misc</t>
        </is>
      </c>
      <c r="B72" s="35" t="inlineStr">
        <is>
          <t>6mm x 3mm Round Neodymium Magnets</t>
        </is>
      </c>
      <c r="C72" s="35" t="n"/>
      <c r="D72" s="35" t="inlineStr">
        <is>
          <t>8</t>
        </is>
      </c>
      <c r="E72" s="35" t="inlineStr">
        <is>
          <t>All</t>
        </is>
      </c>
      <c r="F72" s="35" t="n"/>
      <c r="G72" s="35" t="n"/>
      <c r="H72" s="35" t="n"/>
      <c r="I72" s="35" t="n"/>
      <c r="J72" s="35" t="n"/>
      <c r="K72" s="35" t="n"/>
      <c r="L72" s="35" t="n"/>
      <c r="M72" s="35" t="n"/>
      <c r="N72" s="35" t="n"/>
      <c r="O72" s="35" t="n"/>
      <c r="P72" s="35" t="n"/>
      <c r="Q72" s="35" t="n"/>
      <c r="R72" s="35" t="n"/>
      <c r="S72" s="35" t="n"/>
      <c r="T72" s="35" t="n"/>
      <c r="U72" s="35" t="n"/>
      <c r="V72" s="38" t="inlineStr">
        <is>
          <t>all links were dead</t>
        </is>
      </c>
    </row>
    <row r="73">
      <c r="A73" s="5" t="inlineStr">
        <is>
          <t>Printed Parts</t>
        </is>
      </c>
      <c r="B73" s="5" t="inlineStr">
        <is>
          <t>Printed Parts</t>
        </is>
      </c>
      <c r="C73" s="5" t="n"/>
      <c r="D73" s="5" t="inlineStr">
        <is>
          <t>1</t>
        </is>
      </c>
      <c r="E73" s="5" t="inlineStr">
        <is>
          <t>All</t>
        </is>
      </c>
      <c r="F73" s="6">
        <f>HYPERLINK("https://pif.voron.dev/","Print It Forward")</f>
        <v/>
      </c>
      <c r="G73" s="5" t="n"/>
      <c r="H73" s="5" t="n"/>
      <c r="I73" s="5" t="n"/>
      <c r="J73" s="5" t="n"/>
      <c r="K73" s="5" t="n"/>
      <c r="L73" s="5" t="n"/>
      <c r="M73" s="5" t="n"/>
      <c r="N73" s="5" t="n"/>
      <c r="O73" s="5" t="n"/>
      <c r="P73" s="5" t="n"/>
      <c r="Q73" s="5" t="n"/>
      <c r="R73" s="5" t="n"/>
      <c r="S73" s="5" t="n"/>
      <c r="T73" s="5" t="n"/>
      <c r="U73" s="5" t="n"/>
      <c r="V73" s="5" t="n"/>
    </row>
    <row r="74">
      <c r="A74" s="9" t="inlineStr">
        <is>
          <t>Fasteners</t>
        </is>
      </c>
      <c r="B74" s="9" t="inlineStr">
        <is>
          <t>M3 Heat Set Insert (M3x5x4)</t>
        </is>
      </c>
      <c r="C74" s="9" t="n"/>
      <c r="D74" s="9" t="inlineStr">
        <is>
          <t>20</t>
        </is>
      </c>
      <c r="E74" s="9" t="inlineStr">
        <is>
          <t>All</t>
        </is>
      </c>
      <c r="F74" s="10">
        <f>HYPERLINK("https://www.aliexpress.com/item/4000232858343.html","Aliexpress - M3x5x4")</f>
        <v/>
      </c>
      <c r="G74" s="11">
        <f>HYPERLINK("https://s.click.aliexpress.com/e/_dW3Uprs","[Affiliate Link]")</f>
        <v/>
      </c>
      <c r="H74" s="11">
        <f>HYPERLINK("https://s.click.aliexpress.com/e/_ANjqIj","Aliexpress")</f>
        <v/>
      </c>
      <c r="I74" s="9" t="n"/>
      <c r="J74" s="11">
        <f>HYPERLINK("https://www.amazon.com/dp/B077CJV3Z9","Amazon")</f>
        <v/>
      </c>
      <c r="K74" s="11">
        <f>HYPERLINK("https://s.click.aliexpress.com/e/_dWMOd8C","Aliexpress - M3x5x4")</f>
        <v/>
      </c>
      <c r="L74" s="9" t="n"/>
      <c r="M74" s="11">
        <f>HYPERLINK("https://www.mcmaster.com/94180A331/","McMaster-Carr")</f>
        <v/>
      </c>
      <c r="N74" s="11">
        <f>HYPERLINK("https://s.click.aliexpress.com/e/_dW3Uprs","AliExpress")</f>
        <v/>
      </c>
      <c r="O74" s="9" t="n"/>
      <c r="P74" s="11">
        <f>HYPERLINK("https://cnckitchenus.store/products/made-for-voron-gewindeeinsatz-threaded-insert-m3x5x4-100-stk-pcs","CNC Kitchen")</f>
        <v/>
      </c>
      <c r="Q74" s="9" t="inlineStr">
        <is>
          <t>Aliexpress - M3x5x5</t>
        </is>
      </c>
      <c r="R74" s="9" t="inlineStr">
        <is>
          <t>Aliexpress - M3x5x6</t>
        </is>
      </c>
      <c r="S74" s="9" t="inlineStr">
        <is>
          <t>Aliexpress - M3x5x7</t>
        </is>
      </c>
      <c r="T74" s="9" t="n"/>
      <c r="U74" s="13" t="inlineStr">
        <is>
          <t>McMaster-Carr (50 pack)</t>
        </is>
      </c>
      <c r="V74" s="9" t="n"/>
    </row>
    <row r="75">
      <c r="A75" s="24" t="inlineStr">
        <is>
          <t>Electronics</t>
        </is>
      </c>
      <c r="B75" s="24" t="inlineStr">
        <is>
          <t>NEMA14 Stepper Motor (14HS10-0404S)</t>
        </is>
      </c>
      <c r="C75" s="24" t="n"/>
      <c r="D75" s="24" t="inlineStr">
        <is>
          <t>1</t>
        </is>
      </c>
      <c r="E75" s="24" t="inlineStr">
        <is>
          <t>All</t>
        </is>
      </c>
      <c r="F75" s="25">
        <f>HYPERLINK("https://www.omc-stepperonline.com/nema-14-bipolar-1-8deg-14ncm-20oz-in-0-4a-12v-35x35x26mm-4-wires.html","OMC Stepperonline")</f>
        <v/>
      </c>
      <c r="G75" s="24" t="n"/>
      <c r="H75" s="24" t="n"/>
      <c r="I75" s="24" t="n"/>
      <c r="J75" s="24" t="n"/>
      <c r="K75" s="24" t="n"/>
      <c r="L75" s="24" t="n"/>
      <c r="M75" s="24" t="n"/>
      <c r="N75" s="24" t="n"/>
      <c r="O75" s="24" t="n"/>
      <c r="P75" s="24" t="n"/>
      <c r="Q75" s="24" t="n"/>
      <c r="R75" s="24" t="n"/>
      <c r="S75" s="24" t="n"/>
      <c r="T75" s="24" t="n"/>
      <c r="U75" s="24" t="n"/>
      <c r="V75" s="24" t="n"/>
    </row>
    <row r="76">
      <c r="A76" s="19" t="inlineStr">
        <is>
          <t>Extruder</t>
        </is>
      </c>
      <c r="B76" s="19" t="inlineStr">
        <is>
          <t>Complete BMG Extruder Clone</t>
        </is>
      </c>
      <c r="C76" s="19" t="n"/>
      <c r="D76" s="19" t="inlineStr">
        <is>
          <t>1</t>
        </is>
      </c>
      <c r="E76" s="19" t="inlineStr">
        <is>
          <t>All</t>
        </is>
      </c>
      <c r="F76" s="20">
        <f>HYPERLINK("https://www.bondtech.se/en/product/drivegear-kits","Bondtech")</f>
        <v/>
      </c>
      <c r="G76" s="19" t="n"/>
      <c r="H76" s="21">
        <f>HYPERLINK("https://www.filastruder.com/collections/bondtech/products/drivegear-kit","Filastruder")</f>
        <v/>
      </c>
      <c r="I76" s="19" t="n"/>
      <c r="J76" s="21">
        <f>HYPERLINK("https://s.click.aliexpress.com/e/_dY14nbA","Aliexpress (TL)")</f>
        <v/>
      </c>
      <c r="K76" s="21">
        <f>HYPERLINK("https://www.aliexpress.com/item/32907327548.html","TriangleLab")</f>
        <v/>
      </c>
      <c r="L76" s="21">
        <f>HYPERLINK("https://s.click.aliexpress.com/e/5dL9AJgU","[Affiliate Link]")</f>
        <v/>
      </c>
      <c r="M76" s="21">
        <f>HYPERLINK("https://s.click.aliexpress.com/e/_AU7ik2","Aliexpress (TL)")</f>
        <v/>
      </c>
      <c r="N76" s="21">
        <f>HYPERLINK("https://www.aliexpress.com/item/4000021186440.html","Aliexpress (TL)")</f>
        <v/>
      </c>
      <c r="O76" s="21">
        <f>HYPERLINK("https://s.click.aliexpress.com/e/_Alji4k","[Affiliate Link]")</f>
        <v/>
      </c>
      <c r="P76" s="21">
        <f>HYPERLINK("https://www.aliexpress.com/item/2255799834871688.html","Aliexpress (TriangleLabs)")</f>
        <v/>
      </c>
      <c r="Q76" s="21">
        <f>HYPERLINK("https://s.click.aliexpress.com/e/_dS7fWDW","TriangleLabs")</f>
        <v/>
      </c>
      <c r="R76" s="21">
        <f>HYPERLINK("https://www.aliexpress.com/item/32947193804.html","TriangleLabs")</f>
        <v/>
      </c>
      <c r="S76" s="21">
        <f>HYPERLINK("https://www.filastruder.com/products/bondtech-bmg-internals-set?_pos=1&amp;_sid=8f05bd81a&amp;_ss=r","Filastruder")</f>
        <v/>
      </c>
      <c r="T76" s="21">
        <f>HYPERLINK("https://www.printedsolid.com/products/bondtech-bmg-extruder","Printed Solid")</f>
        <v/>
      </c>
      <c r="U76" s="19" t="n"/>
      <c r="V76" s="23" t="inlineStr">
        <is>
          <t>some links were dead</t>
        </is>
      </c>
    </row>
    <row r="77">
      <c r="A77" s="9" t="inlineStr">
        <is>
          <t>Hardware</t>
        </is>
      </c>
      <c r="B77" s="9" t="inlineStr">
        <is>
          <t>Thumb Screw Assembly</t>
        </is>
      </c>
      <c r="C77" s="9" t="n"/>
      <c r="D77" s="9" t="inlineStr">
        <is>
          <t>1</t>
        </is>
      </c>
      <c r="E77" s="9" t="inlineStr">
        <is>
          <t>All</t>
        </is>
      </c>
      <c r="F77" s="10">
        <f>HYPERLINK("https://www.bondtech.se/en/product/thumbscrew-assembly","Bondtech")</f>
        <v/>
      </c>
      <c r="G77" s="9" t="n"/>
      <c r="H77" s="11">
        <f>HYPERLINK("https://www.filastruder.com/collections/bondtech/products/bondtech-thumbscrew-assembly","Filastruder")</f>
        <v/>
      </c>
      <c r="I77" s="9" t="n"/>
      <c r="J77" s="11">
        <f>HYPERLINK("https://s.click.aliexpress.com/e/_dUxr46o","TriangleLabs")</f>
        <v/>
      </c>
      <c r="K77" s="11">
        <f>HYPERLINK("https://www.aliexpress.com/item/32947691813.html","TriangleLabs")</f>
        <v/>
      </c>
      <c r="L77" s="9" t="n"/>
      <c r="M77" s="9" t="n"/>
      <c r="N77" s="9" t="n"/>
      <c r="O77" s="9" t="n"/>
      <c r="P77" s="9" t="n"/>
      <c r="Q77" s="9" t="n"/>
      <c r="R77" s="9" t="n"/>
      <c r="S77" s="9" t="n"/>
      <c r="T77" s="9" t="n"/>
      <c r="U77" s="9" t="n"/>
      <c r="V77" s="9" t="n"/>
    </row>
    <row r="78">
      <c r="A78" s="19" t="inlineStr">
        <is>
          <t>Extruder</t>
        </is>
      </c>
      <c r="B78" s="19" t="inlineStr">
        <is>
          <t>Shaft/Idler Assembly</t>
        </is>
      </c>
      <c r="C78" s="19" t="n"/>
      <c r="D78" s="19" t="inlineStr">
        <is>
          <t>1</t>
        </is>
      </c>
      <c r="E78" s="19" t="inlineStr">
        <is>
          <t>All</t>
        </is>
      </c>
      <c r="F78" s="20">
        <f>HYPERLINK("https://www.bondtech.se/en/product/shaft-assembly","Bondtech")</f>
        <v/>
      </c>
      <c r="G78" s="19" t="n"/>
      <c r="H78" s="21">
        <f>HYPERLINK("https://www.filastruder.com/collections/bondtech/products/bondtech-shaft-gear-assembly","Filastruder")</f>
        <v/>
      </c>
      <c r="I78" s="19" t="n"/>
      <c r="J78" s="21">
        <f>HYPERLINK("https://s.click.aliexpress.com/e/_dXUX0B6","TriangleLabs")</f>
        <v/>
      </c>
      <c r="K78" s="21">
        <f>HYPERLINK("https://www.aliexpress.com/item/32946823004.html","TriangleLabs")</f>
        <v/>
      </c>
      <c r="L78" s="19" t="n"/>
      <c r="M78" s="19" t="n"/>
      <c r="N78" s="19" t="n"/>
      <c r="O78" s="19" t="n"/>
      <c r="P78" s="19" t="n"/>
      <c r="Q78" s="19" t="n"/>
      <c r="R78" s="19" t="n"/>
      <c r="S78" s="19" t="n"/>
      <c r="T78" s="19" t="n"/>
      <c r="U78" s="19" t="n"/>
      <c r="V78" s="19" t="n"/>
    </row>
    <row r="79">
      <c r="A79" s="19" t="inlineStr">
        <is>
          <t>Extruder</t>
        </is>
      </c>
      <c r="B79" s="19" t="inlineStr">
        <is>
          <t>Bondtech Motor Gear (bowden only)</t>
        </is>
      </c>
      <c r="C79" s="19" t="n"/>
      <c r="D79" s="19" t="inlineStr">
        <is>
          <t>1</t>
        </is>
      </c>
      <c r="E79" s="19" t="inlineStr">
        <is>
          <t>All</t>
        </is>
      </c>
      <c r="F79" s="20">
        <f>HYPERLINK("https://www.bondtech.se/en/product/motor-gear","Bondtech")</f>
        <v/>
      </c>
      <c r="G79" s="19" t="n"/>
      <c r="H79" s="21">
        <f>HYPERLINK("https://www.filastruder.com/collections/bondtech/products/bondtech-motor-gear","Filastruder")</f>
        <v/>
      </c>
      <c r="I79" s="19" t="n"/>
      <c r="J79" s="21">
        <f>HYPERLINK("https://s.click.aliexpress.com/e/_d7eKr16","TriangleLabs")</f>
        <v/>
      </c>
      <c r="K79" s="21">
        <f>HYPERLINK("https://www.aliexpress.com/item/32946695708.html","TriangleLabs")</f>
        <v/>
      </c>
      <c r="L79" s="19" t="n"/>
      <c r="M79" s="19" t="n"/>
      <c r="N79" s="19" t="n"/>
      <c r="O79" s="19" t="n"/>
      <c r="P79" s="19" t="n"/>
      <c r="Q79" s="19" t="n"/>
      <c r="R79" s="19" t="n"/>
      <c r="S79" s="19" t="n"/>
      <c r="T79" s="19" t="n"/>
      <c r="U79" s="19" t="n"/>
      <c r="V79" s="19" t="n"/>
    </row>
    <row r="80">
      <c r="A80" s="19" t="inlineStr">
        <is>
          <t>Extruder</t>
        </is>
      </c>
      <c r="B80" s="19" t="inlineStr">
        <is>
          <t>MR85 Bearing</t>
        </is>
      </c>
      <c r="C80" s="19" t="n"/>
      <c r="D80" s="19" t="inlineStr">
        <is>
          <t>2</t>
        </is>
      </c>
      <c r="E80" s="19" t="inlineStr">
        <is>
          <t>All</t>
        </is>
      </c>
      <c r="F80" s="20">
        <f>HYPERLINK("https://www.bondtech.se/en/product/ballbearing-5x8x2-5","Bondtech")</f>
        <v/>
      </c>
      <c r="G80" s="19" t="n"/>
      <c r="H80" s="21">
        <f>HYPERLINK("https://s.click.aliexpress.com/e/_dZPCzjq","TriangleLabs")</f>
        <v/>
      </c>
      <c r="I80" s="19" t="n"/>
      <c r="J80" s="19" t="n"/>
      <c r="K80" s="19" t="n"/>
      <c r="L80" s="19" t="n"/>
      <c r="M80" s="19" t="n"/>
      <c r="N80" s="19" t="n"/>
      <c r="O80" s="19" t="n"/>
      <c r="P80" s="19" t="n"/>
      <c r="Q80" s="19" t="n"/>
      <c r="R80" s="19" t="n"/>
      <c r="S80" s="19" t="n"/>
      <c r="T80" s="19" t="n"/>
      <c r="U80" s="19" t="n"/>
      <c r="V80" s="19" t="n"/>
    </row>
    <row r="81">
      <c r="A81" s="9" t="inlineStr">
        <is>
          <t>Hardware</t>
        </is>
      </c>
      <c r="B81" s="9" t="inlineStr">
        <is>
          <t>M3x30mm BHCS</t>
        </is>
      </c>
      <c r="C81" s="9" t="inlineStr">
        <is>
          <t>ISO 7380-1</t>
        </is>
      </c>
      <c r="D81" s="9" t="inlineStr">
        <is>
          <t>4</t>
        </is>
      </c>
      <c r="E81" s="9" t="inlineStr">
        <is>
          <t>All</t>
        </is>
      </c>
      <c r="F81" s="9" t="n"/>
      <c r="G81" s="9" t="n"/>
      <c r="H81" s="9" t="n"/>
      <c r="I81" s="9" t="n"/>
      <c r="J81" s="9" t="n"/>
      <c r="K81" s="9" t="n"/>
      <c r="L81" s="9" t="n"/>
      <c r="M81" s="9" t="n"/>
      <c r="N81" s="9" t="n"/>
      <c r="O81" s="9" t="n"/>
      <c r="P81" s="9" t="n"/>
      <c r="Q81" s="9" t="n"/>
      <c r="R81" s="9" t="n"/>
      <c r="S81" s="9" t="n"/>
      <c r="T81" s="9" t="n"/>
      <c r="U81" s="9" t="n"/>
      <c r="V81" s="9" t="n"/>
    </row>
    <row r="82">
      <c r="A82" s="9" t="inlineStr">
        <is>
          <t>Hardware</t>
        </is>
      </c>
      <c r="B82" s="9" t="inlineStr">
        <is>
          <t>M3x12mm BHCS</t>
        </is>
      </c>
      <c r="C82" s="9" t="inlineStr">
        <is>
          <t>ISO 7380-1</t>
        </is>
      </c>
      <c r="D82" s="9" t="inlineStr">
        <is>
          <t>6</t>
        </is>
      </c>
      <c r="E82" s="9" t="inlineStr">
        <is>
          <t>All</t>
        </is>
      </c>
      <c r="F82" s="9" t="n"/>
      <c r="G82" s="9" t="n"/>
      <c r="H82" s="9" t="n"/>
      <c r="I82" s="9" t="n"/>
      <c r="J82" s="9" t="n"/>
      <c r="K82" s="9" t="n"/>
      <c r="L82" s="9" t="n"/>
      <c r="M82" s="9" t="n"/>
      <c r="N82" s="9" t="n"/>
      <c r="O82" s="9" t="n"/>
      <c r="P82" s="9" t="n"/>
      <c r="Q82" s="9" t="n"/>
      <c r="R82" s="9" t="n"/>
      <c r="S82" s="9" t="n"/>
      <c r="T82" s="9" t="n"/>
      <c r="U82" s="9" t="n"/>
      <c r="V82" s="9" t="n"/>
    </row>
    <row r="83">
      <c r="A83" s="9" t="inlineStr">
        <is>
          <t>Hardware</t>
        </is>
      </c>
      <c r="B83" s="9" t="inlineStr">
        <is>
          <t>M3x10mm BHCS</t>
        </is>
      </c>
      <c r="C83" s="9" t="inlineStr">
        <is>
          <t>ISO 7380-1</t>
        </is>
      </c>
      <c r="D83" s="9" t="inlineStr">
        <is>
          <t>1</t>
        </is>
      </c>
      <c r="E83" s="9" t="inlineStr">
        <is>
          <t>All</t>
        </is>
      </c>
      <c r="F83" s="9" t="n"/>
      <c r="G83" s="9" t="n"/>
      <c r="H83" s="9" t="n"/>
      <c r="I83" s="9" t="n"/>
      <c r="J83" s="9" t="n"/>
      <c r="K83" s="9" t="n"/>
      <c r="L83" s="9" t="n"/>
      <c r="M83" s="9" t="n"/>
      <c r="N83" s="9" t="n"/>
      <c r="O83" s="9" t="n"/>
      <c r="P83" s="9" t="n"/>
      <c r="Q83" s="9" t="n"/>
      <c r="R83" s="9" t="n"/>
      <c r="S83" s="9" t="n"/>
      <c r="T83" s="9" t="n"/>
      <c r="U83" s="9" t="n"/>
      <c r="V83" s="9" t="n"/>
    </row>
    <row r="84">
      <c r="A84" s="9" t="inlineStr">
        <is>
          <t>Hardware</t>
        </is>
      </c>
      <c r="B84" s="9" t="inlineStr">
        <is>
          <t>M3x6mm BHCS</t>
        </is>
      </c>
      <c r="C84" s="9" t="inlineStr">
        <is>
          <t>ISO 7380-1</t>
        </is>
      </c>
      <c r="D84" s="9" t="inlineStr">
        <is>
          <t>1</t>
        </is>
      </c>
      <c r="E84" s="9" t="inlineStr">
        <is>
          <t>All</t>
        </is>
      </c>
      <c r="F84" s="9" t="n"/>
      <c r="G84" s="9" t="n"/>
      <c r="H84" s="9" t="n"/>
      <c r="I84" s="9" t="n"/>
      <c r="J84" s="9" t="n"/>
      <c r="K84" s="9" t="n"/>
      <c r="L84" s="9" t="n"/>
      <c r="M84" s="9" t="n"/>
      <c r="N84" s="9" t="n"/>
      <c r="O84" s="9" t="n"/>
      <c r="P84" s="9" t="n"/>
      <c r="Q84" s="9" t="n"/>
      <c r="R84" s="9" t="n"/>
      <c r="S84" s="9" t="n"/>
      <c r="T84" s="9" t="n"/>
      <c r="U84" s="9" t="n"/>
      <c r="V84" s="9"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87"/>
  <sheetViews>
    <sheetView workbookViewId="0">
      <pane ySplit="1" topLeftCell="A2" activePane="bottomLeft" state="frozen"/>
      <selection pane="bottomLeft" activeCell="A1" sqref="A1"/>
    </sheetView>
  </sheetViews>
  <sheetFormatPr baseColWidth="8" defaultRowHeight="15"/>
  <cols>
    <col width="19.9" customWidth="1" min="1" max="1"/>
    <col width="34.5" customWidth="1" min="2" max="2"/>
    <col width="17.1" customWidth="1" min="3" max="3"/>
    <col width="7" customWidth="1" min="4" max="4"/>
    <col width="8.5" customWidth="1" min="5" max="5"/>
    <col width="20" customWidth="1" min="6" max="6"/>
    <col width="15" customWidth="1" min="7" max="7"/>
    <col width="20" customWidth="1" min="8" max="8"/>
    <col width="15" customWidth="1" min="9" max="9"/>
    <col width="20" customWidth="1" min="10" max="10"/>
    <col width="20" customWidth="1" min="11" max="11"/>
    <col width="15" customWidth="1" min="12" max="12"/>
    <col width="20" customWidth="1" min="13" max="13"/>
    <col width="20" customWidth="1" min="14" max="14"/>
    <col width="15" customWidth="1" min="15" max="15"/>
    <col width="20" customWidth="1" min="16" max="16"/>
    <col width="20" customWidth="1" min="17" max="17"/>
    <col width="20" customWidth="1" min="18" max="18"/>
    <col width="20" customWidth="1" min="19" max="19"/>
    <col width="20" customWidth="1" min="20" max="20"/>
    <col width="90" customWidth="1" min="21" max="21"/>
    <col width="20" customWidth="1" min="22" max="22"/>
  </cols>
  <sheetData>
    <row r="1">
      <c r="A1" s="3" t="inlineStr">
        <is>
          <t>Category</t>
        </is>
      </c>
      <c r="B1" s="3" t="inlineStr">
        <is>
          <t>Component</t>
        </is>
      </c>
      <c r="C1" s="3" t="inlineStr">
        <is>
          <t>Standard</t>
        </is>
      </c>
      <c r="D1" s="3" t="inlineStr">
        <is>
          <t>Qty</t>
        </is>
      </c>
      <c r="E1" s="3" t="inlineStr">
        <is>
          <t>Size</t>
        </is>
      </c>
      <c r="F1" s="4" t="inlineStr">
        <is>
          <t>Recommended</t>
        </is>
      </c>
      <c r="G1" s="3" t="inlineStr"/>
      <c r="H1" s="4" t="inlineStr">
        <is>
          <t>Alternative Source</t>
        </is>
      </c>
      <c r="I1" s="3" t="inlineStr"/>
      <c r="J1" s="4" t="inlineStr">
        <is>
          <t>Alternative Source 2</t>
        </is>
      </c>
      <c r="K1" s="4" t="inlineStr">
        <is>
          <t>Alternative Source 3</t>
        </is>
      </c>
      <c r="L1" s="3" t="inlineStr"/>
      <c r="M1" s="4" t="inlineStr">
        <is>
          <t>Alternative Source 4</t>
        </is>
      </c>
      <c r="N1" s="4" t="inlineStr">
        <is>
          <t>Alternative Source 5</t>
        </is>
      </c>
      <c r="O1" s="3" t="inlineStr"/>
      <c r="P1" s="4" t="inlineStr">
        <is>
          <t>Alternative Source 6</t>
        </is>
      </c>
      <c r="Q1" s="4" t="inlineStr">
        <is>
          <t>Alternative Source 7</t>
        </is>
      </c>
      <c r="R1" s="4" t="inlineStr">
        <is>
          <t>Alternative Source 8</t>
        </is>
      </c>
      <c r="S1" s="4" t="inlineStr">
        <is>
          <t>Alternative Source 9</t>
        </is>
      </c>
      <c r="T1" s="4" t="inlineStr">
        <is>
          <t>Alternative Source 10</t>
        </is>
      </c>
      <c r="U1" s="3" t="inlineStr">
        <is>
          <t>Notes</t>
        </is>
      </c>
      <c r="V1" s="3" t="inlineStr">
        <is>
          <t>Link check</t>
        </is>
      </c>
    </row>
    <row r="2">
      <c r="A2" s="9" t="inlineStr">
        <is>
          <t>Hardware</t>
        </is>
      </c>
      <c r="B2" s="9" t="inlineStr">
        <is>
          <t>Shim Washer - 6mm OD - 3mm ID - 0.5mm Thick (thickness is important)</t>
        </is>
      </c>
      <c r="C2" s="9" t="inlineStr">
        <is>
          <t>DIN988</t>
        </is>
      </c>
      <c r="D2" s="9" t="inlineStr">
        <is>
          <t>35</t>
        </is>
      </c>
      <c r="E2" s="9" t="inlineStr">
        <is>
          <t>All</t>
        </is>
      </c>
      <c r="F2" s="10">
        <f>HYPERLINK("https://s.click.aliexpress.com/e/_dUjNx0o","Aliexpress")</f>
        <v/>
      </c>
      <c r="G2" s="9" t="n"/>
      <c r="H2" s="11">
        <f>HYPERLINK("https://s.click.aliexpress.com/e/_Bf9nOYLc","Aliexpress")</f>
        <v/>
      </c>
      <c r="I2" s="9" t="n"/>
      <c r="J2" s="9" t="n"/>
      <c r="K2" s="9" t="n"/>
      <c r="L2" s="9" t="n"/>
      <c r="M2" s="9" t="n"/>
      <c r="N2" s="9" t="n"/>
      <c r="O2" s="9" t="n"/>
      <c r="P2" s="9" t="n"/>
      <c r="Q2" s="9" t="n"/>
      <c r="R2" s="9" t="n"/>
      <c r="S2" s="9" t="n"/>
      <c r="T2" s="9" t="n"/>
      <c r="U2" s="13" t="inlineStr">
        <is>
          <t>Shims with 7mm OD are fine as well. The 0.5mm thickness is important.</t>
        </is>
      </c>
      <c r="V2" s="9" t="n"/>
    </row>
    <row r="3">
      <c r="A3" s="9" t="inlineStr">
        <is>
          <t>Hardware</t>
        </is>
      </c>
      <c r="B3" s="9" t="inlineStr">
        <is>
          <t>M2 Nut</t>
        </is>
      </c>
      <c r="C3" s="9" t="inlineStr">
        <is>
          <t>ISO 4033 / DIN 934</t>
        </is>
      </c>
      <c r="D3" s="9" t="inlineStr">
        <is>
          <t>55</t>
        </is>
      </c>
      <c r="E3" s="9" t="inlineStr">
        <is>
          <t>All</t>
        </is>
      </c>
      <c r="F3" s="10">
        <f>HYPERLINK("https://www.boltdepot.com/Metric_hex_nuts_Stainless_steel_18-8_(A-2).aspx","Bolt Depot")</f>
        <v/>
      </c>
      <c r="G3" s="9" t="n"/>
      <c r="H3" s="9" t="n"/>
      <c r="I3" s="9" t="n"/>
      <c r="J3" s="9" t="n"/>
      <c r="K3" s="9" t="n"/>
      <c r="L3" s="9" t="n"/>
      <c r="M3" s="9" t="n"/>
      <c r="N3" s="9" t="n"/>
      <c r="O3" s="9" t="n"/>
      <c r="P3" s="9" t="n"/>
      <c r="Q3" s="9" t="n"/>
      <c r="R3" s="9" t="n"/>
      <c r="S3" s="9" t="n"/>
      <c r="T3" s="9" t="n"/>
      <c r="U3" s="9" t="n"/>
      <c r="V3" s="9" t="n"/>
    </row>
    <row r="4">
      <c r="A4" s="9" t="inlineStr">
        <is>
          <t>Hardware</t>
        </is>
      </c>
      <c r="B4" s="9" t="inlineStr">
        <is>
          <t>M3 Hexnut</t>
        </is>
      </c>
      <c r="C4" s="9" t="inlineStr">
        <is>
          <t>ISO 4033 / DIN 934</t>
        </is>
      </c>
      <c r="D4" s="9" t="inlineStr">
        <is>
          <t>120</t>
        </is>
      </c>
      <c r="E4" s="9" t="inlineStr">
        <is>
          <t>All</t>
        </is>
      </c>
      <c r="F4" s="10">
        <f>HYPERLINK("https://www.boltdepot.com/Product-Details.aspx?product=4783","Bolt Depot")</f>
        <v/>
      </c>
      <c r="G4" s="9" t="n"/>
      <c r="H4" s="11">
        <f>HYPERLINK("https://www.boltdepot.com/Metric_hex_nuts_Stainless_steel_18-8_(A-2).aspx","Bolt Depot")</f>
        <v/>
      </c>
      <c r="I4" s="9" t="n"/>
      <c r="J4" s="11">
        <f>HYPERLINK("https://www.mcmaster.com/90591A250/","McMaster-Carr (100 pack)")</f>
        <v/>
      </c>
      <c r="K4" s="11">
        <f>HYPERLINK("https://www.aliexpress.com/item/32977174437.html","Aliexpress")</f>
        <v/>
      </c>
      <c r="L4" s="9" t="n"/>
      <c r="M4" s="9" t="n"/>
      <c r="N4" s="9" t="n"/>
      <c r="O4" s="9" t="n"/>
      <c r="P4" s="9" t="n"/>
      <c r="Q4" s="9" t="n"/>
      <c r="R4" s="9" t="n"/>
      <c r="S4" s="9" t="n"/>
      <c r="T4" s="9" t="n"/>
      <c r="U4" s="9" t="n"/>
      <c r="V4" s="9" t="n"/>
    </row>
    <row r="5">
      <c r="A5" s="9" t="inlineStr">
        <is>
          <t>Fasteners</t>
        </is>
      </c>
      <c r="B5" s="9" t="inlineStr">
        <is>
          <t>M3 Locknut</t>
        </is>
      </c>
      <c r="C5" s="9" t="inlineStr">
        <is>
          <t>DIN 985</t>
        </is>
      </c>
      <c r="D5" s="9" t="inlineStr">
        <is>
          <t>5</t>
        </is>
      </c>
      <c r="E5" s="9" t="inlineStr">
        <is>
          <t>All</t>
        </is>
      </c>
      <c r="F5" s="10">
        <f>HYPERLINK("https://www.boltdepot.com/Product-Details.aspx?product=4370","Bolt Depot")</f>
        <v/>
      </c>
      <c r="G5" s="9" t="n"/>
      <c r="H5" s="11">
        <f>HYPERLINK("https://www.boltdepot.com/Product-Details.aspx?product=4792","Bolt Depot")</f>
        <v/>
      </c>
      <c r="I5" s="9" t="n"/>
      <c r="J5" s="11">
        <f>HYPERLINK("https://www.mcmaster.com/90576A102/","McMaster-Carr (100 pack)")</f>
        <v/>
      </c>
      <c r="K5" s="11">
        <f>HYPERLINK("https://www.aliexpress.com/item/32988995881.html","Aliexpress")</f>
        <v/>
      </c>
      <c r="L5" s="9" t="n"/>
      <c r="M5" s="11">
        <f>HYPERLINK("https://www.amazon.com/dp/B07BD24MXV","Amazon")</f>
        <v/>
      </c>
      <c r="N5" s="11">
        <f>HYPERLINK("https://www.mcmaster.com/93625A100/","McMaster-Carr (100 pack)")</f>
        <v/>
      </c>
      <c r="O5" s="9" t="n"/>
      <c r="P5" s="9" t="n"/>
      <c r="Q5" s="9" t="n"/>
      <c r="R5" s="9" t="n"/>
      <c r="S5" s="9" t="n"/>
      <c r="T5" s="9" t="n"/>
      <c r="U5" s="9" t="n"/>
      <c r="V5" s="9" t="n"/>
    </row>
    <row r="6">
      <c r="A6" s="9" t="inlineStr">
        <is>
          <t>Hardware</t>
        </is>
      </c>
      <c r="B6" s="9" t="inlineStr">
        <is>
          <t>M2x6 BHCS/SHCS</t>
        </is>
      </c>
      <c r="C6" s="9" t="inlineStr">
        <is>
          <t>ISO 7380-1</t>
        </is>
      </c>
      <c r="D6" s="9" t="inlineStr">
        <is>
          <t>70</t>
        </is>
      </c>
      <c r="E6" s="9" t="inlineStr">
        <is>
          <t>All</t>
        </is>
      </c>
      <c r="F6" s="10">
        <f>HYPERLINK("https://www.boltdepot.com/Metric_socket_cap_Class_12.9_alloy_steel_black_oxide_finish_2mm_x_0.4mm.aspx","Bolt Depot")</f>
        <v/>
      </c>
      <c r="G6" s="9" t="n"/>
      <c r="H6" s="11">
        <f>HYPERLINK("https://www.aliexpress.com/item/32966917947.html","Aliexpress")</f>
        <v/>
      </c>
      <c r="I6" s="9" t="n"/>
      <c r="J6" s="11">
        <f>HYPERLINK("https://www.amazon.com/dp/B07W5J19Y5","Amazon - M2 kit")</f>
        <v/>
      </c>
      <c r="K6" s="9" t="n"/>
      <c r="L6" s="9" t="n"/>
      <c r="M6" s="9" t="n"/>
      <c r="N6" s="9" t="n"/>
      <c r="O6" s="9" t="n"/>
      <c r="P6" s="9" t="n"/>
      <c r="Q6" s="9" t="n"/>
      <c r="R6" s="9" t="n"/>
      <c r="S6" s="9" t="n"/>
      <c r="T6" s="9" t="n"/>
      <c r="U6" s="9" t="n"/>
      <c r="V6" s="9" t="n"/>
    </row>
    <row r="7">
      <c r="A7" s="9" t="inlineStr">
        <is>
          <t>Hardware</t>
        </is>
      </c>
      <c r="B7" s="9" t="inlineStr">
        <is>
          <t>M2x6 FHCS</t>
        </is>
      </c>
      <c r="C7" s="9" t="inlineStr">
        <is>
          <t>ISO 10642 / DIN7991</t>
        </is>
      </c>
      <c r="D7" s="9" t="inlineStr">
        <is>
          <t>10</t>
        </is>
      </c>
      <c r="E7" s="9" t="inlineStr">
        <is>
          <t>All</t>
        </is>
      </c>
      <c r="F7" s="10">
        <f>HYPERLINK("https://www.mcmaster.com/91294A004/","Mcmaster")</f>
        <v/>
      </c>
      <c r="G7" s="9" t="n"/>
      <c r="H7" s="11">
        <f>HYPERLINK("https://www.aliexpress.com/item/32968616563.html","Aliexpress")</f>
        <v/>
      </c>
      <c r="I7" s="9" t="n"/>
      <c r="J7" s="9" t="n"/>
      <c r="K7" s="9" t="n"/>
      <c r="L7" s="9" t="n"/>
      <c r="M7" s="9" t="n"/>
      <c r="N7" s="9" t="n"/>
      <c r="O7" s="9" t="n"/>
      <c r="P7" s="9" t="n"/>
      <c r="Q7" s="9" t="n"/>
      <c r="R7" s="9" t="n"/>
      <c r="S7" s="9" t="n"/>
      <c r="T7" s="9" t="n"/>
      <c r="U7" s="13" t="inlineStr">
        <is>
          <t>yes the head type is important</t>
        </is>
      </c>
      <c r="V7" s="9" t="n"/>
    </row>
    <row r="8">
      <c r="A8" s="9" t="inlineStr">
        <is>
          <t>Hardware</t>
        </is>
      </c>
      <c r="B8" s="9" t="inlineStr">
        <is>
          <t>M2x8 SHCS</t>
        </is>
      </c>
      <c r="C8" s="9" t="inlineStr">
        <is>
          <t>ISO 4762 / DIN 912</t>
        </is>
      </c>
      <c r="D8" s="9" t="inlineStr">
        <is>
          <t>10</t>
        </is>
      </c>
      <c r="E8" s="9" t="inlineStr">
        <is>
          <t>All</t>
        </is>
      </c>
      <c r="F8" s="10">
        <f>HYPERLINK("https://www.boltdepot.com/Metric_socket_cap_Class_12.9_alloy_steel_black_oxide_finish_2mm_x_0.4mm.aspx","Bolt Depot")</f>
        <v/>
      </c>
      <c r="G8" s="9" t="n"/>
      <c r="H8" s="11">
        <f>HYPERLINK("https://s.click.aliexpress.com/e/_d6vrEGq","Aliexpress")</f>
        <v/>
      </c>
      <c r="I8" s="9" t="n"/>
      <c r="J8" s="11">
        <f>HYPERLINK("https://amzn.to/3c0xpEh","Amazon - M2 kit")</f>
        <v/>
      </c>
      <c r="K8" s="11">
        <f>HYPERLINK("https://www.aliexpress.com/item/2251832870888463.html","Aliexpress")</f>
        <v/>
      </c>
      <c r="L8" s="9" t="n"/>
      <c r="M8" s="11">
        <f>HYPERLINK("https://amzn.to/2SiHdlD","Amazon - M2 kit [Affiliate Link]")</f>
        <v/>
      </c>
      <c r="N8" s="9" t="n"/>
      <c r="O8" s="9" t="n"/>
      <c r="P8" s="9" t="n"/>
      <c r="Q8" s="9" t="n"/>
      <c r="R8" s="9" t="n"/>
      <c r="S8" s="9" t="n"/>
      <c r="T8" s="9" t="n"/>
      <c r="U8" s="9" t="n"/>
      <c r="V8" s="9" t="n"/>
    </row>
    <row r="9">
      <c r="A9" s="9" t="inlineStr">
        <is>
          <t>Hardware</t>
        </is>
      </c>
      <c r="B9" s="9" t="inlineStr">
        <is>
          <t>M2.5x6 BHCS</t>
        </is>
      </c>
      <c r="C9" s="9" t="inlineStr">
        <is>
          <t>ISO 7380-1</t>
        </is>
      </c>
      <c r="D9" s="9" t="inlineStr">
        <is>
          <t>5</t>
        </is>
      </c>
      <c r="E9" s="9" t="inlineStr">
        <is>
          <t>All</t>
        </is>
      </c>
      <c r="F9" s="10">
        <f>HYPERLINK("https://www.mcmaster.com/screws/system-of-measurement~metric/rounded-head-screws/thread-size~m2-5/metric-alloy-steel-button-head-hex-drive-screws","Mcmaster")</f>
        <v/>
      </c>
      <c r="G9" s="9" t="n"/>
      <c r="H9" s="11">
        <f>HYPERLINK("https://s.click.aliexpress.com/e/_d7V4XEq","Aliexpress")</f>
        <v/>
      </c>
      <c r="I9" s="9" t="n"/>
      <c r="J9" s="9" t="n"/>
      <c r="K9" s="9" t="n"/>
      <c r="L9" s="9" t="n"/>
      <c r="M9" s="9" t="n"/>
      <c r="N9" s="9" t="n"/>
      <c r="O9" s="9" t="n"/>
      <c r="P9" s="9" t="n"/>
      <c r="Q9" s="9" t="n"/>
      <c r="R9" s="9" t="n"/>
      <c r="S9" s="9" t="n"/>
      <c r="T9" s="9" t="n"/>
      <c r="U9" s="9" t="n"/>
      <c r="V9" s="9" t="n"/>
    </row>
    <row r="10">
      <c r="A10" s="9" t="inlineStr">
        <is>
          <t>Fasteners</t>
        </is>
      </c>
      <c r="B10" s="9" t="inlineStr">
        <is>
          <t>M3x6 BHCS</t>
        </is>
      </c>
      <c r="C10" s="9" t="inlineStr">
        <is>
          <t>ISO 7380-1</t>
        </is>
      </c>
      <c r="D10" s="9" t="inlineStr">
        <is>
          <t>40</t>
        </is>
      </c>
      <c r="E10" s="9" t="inlineStr">
        <is>
          <t>All</t>
        </is>
      </c>
      <c r="F10" s="10">
        <f>HYPERLINK("https://www.boltdepot.com/Product-Details.aspx?product=13334","Bolt Depot")</f>
        <v/>
      </c>
      <c r="G10" s="9" t="n"/>
      <c r="H10" s="11">
        <f>HYPERLINK("https://www.boltdepot.com/Metric_socket_button_head_Class_12.9_alloy_steel_black_oxide_finish_3mm_x_0.5mm.aspx","Bolt Depot")</f>
        <v/>
      </c>
      <c r="I10" s="9" t="n"/>
      <c r="J10" s="11">
        <f>HYPERLINK("https://www.mcmaster.com/91239A111/","McMaster-Carr (100 pack)")</f>
        <v/>
      </c>
      <c r="K10" s="11">
        <f>HYPERLINK("https://s.click.aliexpress.com/e/_d7V4XEq","Aliexpress")</f>
        <v/>
      </c>
      <c r="L10" s="9" t="n"/>
      <c r="M10" s="9" t="n"/>
      <c r="N10" s="9" t="n"/>
      <c r="O10" s="9" t="n"/>
      <c r="P10" s="9" t="n"/>
      <c r="Q10" s="9" t="n"/>
      <c r="R10" s="9" t="n"/>
      <c r="S10" s="9" t="n"/>
      <c r="T10" s="9" t="n"/>
      <c r="U10" s="9" t="n"/>
      <c r="V10" s="9" t="n"/>
    </row>
    <row r="11">
      <c r="A11" s="9" t="inlineStr">
        <is>
          <t>Hardware</t>
        </is>
      </c>
      <c r="B11" s="9" t="inlineStr">
        <is>
          <t>M3x8 BHCS</t>
        </is>
      </c>
      <c r="C11" s="9" t="inlineStr">
        <is>
          <t>ISO 7380-1</t>
        </is>
      </c>
      <c r="D11" s="9" t="inlineStr">
        <is>
          <t>100</t>
        </is>
      </c>
      <c r="E11" s="9" t="inlineStr">
        <is>
          <t>All</t>
        </is>
      </c>
      <c r="F11" s="10">
        <f>HYPERLINK("https://www.boltdepot.com/Metric_socket_button_head_Class_12.9_alloy_steel_black_oxide_finish_3mm_x_0.5mm.aspx","Bolt Depot")</f>
        <v/>
      </c>
      <c r="G11" s="9" t="n"/>
      <c r="H11" s="11">
        <f>HYPERLINK("https://s.click.aliexpress.com/e/_d69Qoqw","Aliexpress")</f>
        <v/>
      </c>
      <c r="I11" s="9" t="n"/>
      <c r="J11" s="9" t="n"/>
      <c r="K11" s="9" t="n"/>
      <c r="L11" s="9" t="n"/>
      <c r="M11" s="9" t="n"/>
      <c r="N11" s="9" t="n"/>
      <c r="O11" s="9" t="n"/>
      <c r="P11" s="9" t="n"/>
      <c r="Q11" s="9" t="n"/>
      <c r="R11" s="9" t="n"/>
      <c r="S11" s="9" t="n"/>
      <c r="T11" s="9" t="n"/>
      <c r="U11" s="9" t="n"/>
      <c r="V11" s="9" t="n"/>
    </row>
    <row r="12">
      <c r="A12" s="9" t="inlineStr">
        <is>
          <t>Hardware</t>
        </is>
      </c>
      <c r="B12" s="9" t="inlineStr">
        <is>
          <t>M3x8 FHCS</t>
        </is>
      </c>
      <c r="C12" s="9" t="inlineStr">
        <is>
          <t>ISO 10642</t>
        </is>
      </c>
      <c r="D12" s="9" t="inlineStr">
        <is>
          <t>5</t>
        </is>
      </c>
      <c r="E12" s="9" t="inlineStr">
        <is>
          <t>All</t>
        </is>
      </c>
      <c r="F12" s="9" t="n"/>
      <c r="G12" s="9" t="n"/>
      <c r="H12" s="9" t="n"/>
      <c r="I12" s="9" t="n"/>
      <c r="J12" s="9" t="n"/>
      <c r="K12" s="9" t="n"/>
      <c r="L12" s="9" t="n"/>
      <c r="M12" s="9" t="n"/>
      <c r="N12" s="9" t="n"/>
      <c r="O12" s="9" t="n"/>
      <c r="P12" s="9" t="n"/>
      <c r="Q12" s="9" t="n"/>
      <c r="R12" s="9" t="n"/>
      <c r="S12" s="9" t="n"/>
      <c r="T12" s="9" t="n"/>
      <c r="U12" s="9" t="n"/>
      <c r="V12" s="9" t="n"/>
    </row>
    <row r="13">
      <c r="A13" s="9" t="inlineStr">
        <is>
          <t>Hardware</t>
        </is>
      </c>
      <c r="B13" s="9" t="inlineStr">
        <is>
          <t>M3x10 BHCS</t>
        </is>
      </c>
      <c r="C13" s="9" t="inlineStr">
        <is>
          <t>ISO 7380-1</t>
        </is>
      </c>
      <c r="D13" s="9" t="inlineStr">
        <is>
          <t>25</t>
        </is>
      </c>
      <c r="E13" s="9" t="inlineStr">
        <is>
          <t>All</t>
        </is>
      </c>
      <c r="F13" s="10">
        <f>HYPERLINK("https://www.boltdepot.com/Metric_socket_button_head_Class_12.9_alloy_steel_black_oxide_finish_3mm_x_0.5mm.aspx","Bolt Depot")</f>
        <v/>
      </c>
      <c r="G13" s="9" t="n"/>
      <c r="H13" s="11">
        <f>HYPERLINK("https://s.click.aliexpress.com/e/_dTG8kTc","Aliexpress")</f>
        <v/>
      </c>
      <c r="I13" s="9" t="n"/>
      <c r="J13" s="9" t="n"/>
      <c r="K13" s="9" t="n"/>
      <c r="L13" s="9" t="n"/>
      <c r="M13" s="9" t="n"/>
      <c r="N13" s="9" t="n"/>
      <c r="O13" s="9" t="n"/>
      <c r="P13" s="9" t="n"/>
      <c r="Q13" s="9" t="n"/>
      <c r="R13" s="9" t="n"/>
      <c r="S13" s="9" t="n"/>
      <c r="T13" s="9" t="n"/>
      <c r="U13" s="9" t="n"/>
      <c r="V13" s="9" t="n"/>
    </row>
    <row r="14">
      <c r="A14" s="9" t="inlineStr">
        <is>
          <t>Hardware</t>
        </is>
      </c>
      <c r="B14" s="9" t="inlineStr">
        <is>
          <t>M3x12 BHCS</t>
        </is>
      </c>
      <c r="C14" s="9" t="inlineStr">
        <is>
          <t>ISO 7380-1</t>
        </is>
      </c>
      <c r="D14" s="9" t="inlineStr">
        <is>
          <t>25</t>
        </is>
      </c>
      <c r="E14" s="9" t="inlineStr">
        <is>
          <t>All</t>
        </is>
      </c>
      <c r="F14" s="10">
        <f>HYPERLINK("https://www.boltdepot.com/Metric_socket_button_head_Class_12.9_alloy_steel_black_oxide_finish_3mm_x_0.5mm.aspx","Bolt Depot")</f>
        <v/>
      </c>
      <c r="G14" s="9" t="n"/>
      <c r="H14" s="11">
        <f>HYPERLINK("https://s.click.aliexpress.com/e/_dWjW7lk","Aliexpress")</f>
        <v/>
      </c>
      <c r="I14" s="9" t="n"/>
      <c r="J14" s="9" t="n"/>
      <c r="K14" s="9" t="n"/>
      <c r="L14" s="9" t="n"/>
      <c r="M14" s="9" t="n"/>
      <c r="N14" s="9" t="n"/>
      <c r="O14" s="9" t="n"/>
      <c r="P14" s="9" t="n"/>
      <c r="Q14" s="9" t="n"/>
      <c r="R14" s="9" t="n"/>
      <c r="S14" s="9" t="n"/>
      <c r="T14" s="9" t="n"/>
      <c r="U14" s="9" t="n"/>
      <c r="V14" s="9" t="n"/>
    </row>
    <row r="15">
      <c r="A15" s="9" t="inlineStr">
        <is>
          <t>Hardware</t>
        </is>
      </c>
      <c r="B15" s="9" t="inlineStr">
        <is>
          <t>M3x16 BHCS</t>
        </is>
      </c>
      <c r="C15" s="9" t="inlineStr">
        <is>
          <t>ISO 7380-1</t>
        </is>
      </c>
      <c r="D15" s="9" t="inlineStr">
        <is>
          <t>5</t>
        </is>
      </c>
      <c r="E15" s="9" t="inlineStr">
        <is>
          <t>All</t>
        </is>
      </c>
      <c r="F15" s="10">
        <f>HYPERLINK("https://www.boltdepot.com/Metric_socket_button_head_Class_12.9_alloy_steel_black_oxide_finish_3mm_x_0.5mm.aspx","Bolt Depot")</f>
        <v/>
      </c>
      <c r="G15" s="9" t="n"/>
      <c r="H15" s="11">
        <f>HYPERLINK("https://s.click.aliexpress.com/e/_dWjW7lk","Aliexpress")</f>
        <v/>
      </c>
      <c r="I15" s="9" t="n"/>
      <c r="J15" s="9" t="n"/>
      <c r="K15" s="9" t="n"/>
      <c r="L15" s="9" t="n"/>
      <c r="M15" s="9" t="n"/>
      <c r="N15" s="9" t="n"/>
      <c r="O15" s="9" t="n"/>
      <c r="P15" s="9" t="n"/>
      <c r="Q15" s="9" t="n"/>
      <c r="R15" s="9" t="n"/>
      <c r="S15" s="9" t="n"/>
      <c r="T15" s="9" t="n"/>
      <c r="U15" s="9" t="n"/>
      <c r="V15" s="9" t="n"/>
    </row>
    <row r="16">
      <c r="A16" s="9" t="inlineStr">
        <is>
          <t>Hardware</t>
        </is>
      </c>
      <c r="B16" s="9" t="inlineStr">
        <is>
          <t>M3x25 BHCS</t>
        </is>
      </c>
      <c r="C16" s="9" t="inlineStr">
        <is>
          <t>ISO 7380-1</t>
        </is>
      </c>
      <c r="D16" s="9" t="inlineStr">
        <is>
          <t>10</t>
        </is>
      </c>
      <c r="E16" s="9" t="inlineStr">
        <is>
          <t>All</t>
        </is>
      </c>
      <c r="F16" s="10">
        <f>HYPERLINK("https://www.boltdepot.com/Product-Details.aspx?product=18942","Bolt Depot")</f>
        <v/>
      </c>
      <c r="G16" s="9" t="n"/>
      <c r="H16" s="9" t="n"/>
      <c r="I16" s="9" t="n"/>
      <c r="J16" s="9" t="n"/>
      <c r="K16" s="9" t="n"/>
      <c r="L16" s="9" t="n"/>
      <c r="M16" s="9" t="n"/>
      <c r="N16" s="9" t="n"/>
      <c r="O16" s="9" t="n"/>
      <c r="P16" s="9" t="n"/>
      <c r="Q16" s="9" t="n"/>
      <c r="R16" s="9" t="n"/>
      <c r="S16" s="9" t="n"/>
      <c r="T16" s="9" t="n"/>
      <c r="U16" s="9" t="n"/>
      <c r="V16" s="12" t="inlineStr">
        <is>
          <t>some links were dead</t>
        </is>
      </c>
    </row>
    <row r="17">
      <c r="A17" s="9" t="inlineStr">
        <is>
          <t>Hardware</t>
        </is>
      </c>
      <c r="B17" s="9" t="inlineStr">
        <is>
          <t>M3x30 BHCS</t>
        </is>
      </c>
      <c r="C17" s="9" t="inlineStr">
        <is>
          <t>ISO 7380-1</t>
        </is>
      </c>
      <c r="D17" s="9" t="inlineStr">
        <is>
          <t>10</t>
        </is>
      </c>
      <c r="E17" s="9" t="inlineStr">
        <is>
          <t>All</t>
        </is>
      </c>
      <c r="F17" s="10">
        <f>HYPERLINK("https://www.boltdepot.com/Product-Details.aspx?product=18943","Bolt Depot")</f>
        <v/>
      </c>
      <c r="G17" s="9" t="n"/>
      <c r="H17" s="11">
        <f>HYPERLINK("https://s.click.aliexpress.com/e/_dUZTaXk","Aliexpress")</f>
        <v/>
      </c>
      <c r="I17" s="9" t="n"/>
      <c r="J17" s="9" t="n"/>
      <c r="K17" s="9" t="n"/>
      <c r="L17" s="9" t="n"/>
      <c r="M17" s="9" t="n"/>
      <c r="N17" s="9" t="n"/>
      <c r="O17" s="9" t="n"/>
      <c r="P17" s="9" t="n"/>
      <c r="Q17" s="9" t="n"/>
      <c r="R17" s="9" t="n"/>
      <c r="S17" s="9" t="n"/>
      <c r="T17" s="9" t="n"/>
      <c r="U17" s="9" t="n"/>
      <c r="V17" s="9" t="n"/>
    </row>
    <row r="18">
      <c r="A18" s="9" t="inlineStr">
        <is>
          <t>Hardware</t>
        </is>
      </c>
      <c r="B18" s="9" t="inlineStr">
        <is>
          <t>M3x35 BHCS</t>
        </is>
      </c>
      <c r="C18" s="9" t="inlineStr">
        <is>
          <t>ISO 7380-1</t>
        </is>
      </c>
      <c r="D18" s="9" t="inlineStr">
        <is>
          <t>30</t>
        </is>
      </c>
      <c r="E18" s="9" t="inlineStr">
        <is>
          <t>All</t>
        </is>
      </c>
      <c r="F18" s="10">
        <f>HYPERLINK("https://www.boltdepot.com/Metric_socket_button_head_Class_12.9_alloy_steel_black_oxide_finish_3mm_x_0.5mm.aspx","Bolt Depot")</f>
        <v/>
      </c>
      <c r="G18" s="9" t="n"/>
      <c r="H18" s="9" t="n"/>
      <c r="I18" s="9" t="n"/>
      <c r="J18" s="9" t="n"/>
      <c r="K18" s="9" t="n"/>
      <c r="L18" s="9" t="n"/>
      <c r="M18" s="9" t="n"/>
      <c r="N18" s="9" t="n"/>
      <c r="O18" s="9" t="n"/>
      <c r="P18" s="9" t="n"/>
      <c r="Q18" s="9" t="n"/>
      <c r="R18" s="9" t="n"/>
      <c r="S18" s="9" t="n"/>
      <c r="T18" s="9" t="n"/>
      <c r="U18" s="9" t="n"/>
      <c r="V18" s="12" t="inlineStr">
        <is>
          <t>some links were dead</t>
        </is>
      </c>
    </row>
    <row r="19">
      <c r="A19" s="9" t="inlineStr">
        <is>
          <t>Hardware</t>
        </is>
      </c>
      <c r="B19" s="9" t="inlineStr">
        <is>
          <t>M3x40 BHCS</t>
        </is>
      </c>
      <c r="C19" s="9" t="inlineStr">
        <is>
          <t>ISO 7380-1</t>
        </is>
      </c>
      <c r="D19" s="9" t="inlineStr">
        <is>
          <t>10</t>
        </is>
      </c>
      <c r="E19" s="9" t="inlineStr">
        <is>
          <t>All</t>
        </is>
      </c>
      <c r="F19" s="10">
        <f>HYPERLINK("https://www.boltdepot.com/Product-Details.aspx?product=15294","Bolt Depot")</f>
        <v/>
      </c>
      <c r="G19" s="9" t="n"/>
      <c r="H19" s="9" t="n"/>
      <c r="I19" s="9" t="n"/>
      <c r="J19" s="9" t="n"/>
      <c r="K19" s="9" t="n"/>
      <c r="L19" s="9" t="n"/>
      <c r="M19" s="9" t="n"/>
      <c r="N19" s="9" t="n"/>
      <c r="O19" s="9" t="n"/>
      <c r="P19" s="9" t="n"/>
      <c r="Q19" s="9" t="n"/>
      <c r="R19" s="9" t="n"/>
      <c r="S19" s="9" t="n"/>
      <c r="T19" s="9" t="n"/>
      <c r="U19" s="9" t="n"/>
      <c r="V19" s="12" t="inlineStr">
        <is>
          <t>some links were dead</t>
        </is>
      </c>
    </row>
    <row r="20">
      <c r="A20" s="9" t="inlineStr">
        <is>
          <t>Fasteners</t>
        </is>
      </c>
      <c r="B20" s="9" t="inlineStr">
        <is>
          <t>M2x10 Self Tapping Screw for Plastics</t>
        </is>
      </c>
      <c r="C20" s="9" t="n"/>
      <c r="D20" s="9" t="inlineStr">
        <is>
          <t>15</t>
        </is>
      </c>
      <c r="E20" s="9" t="inlineStr">
        <is>
          <t>All</t>
        </is>
      </c>
      <c r="F20" s="10">
        <f>HYPERLINK("https://www.aliexpress.com/item/33043885403.html","Aliexpress")</f>
        <v/>
      </c>
      <c r="G20" s="9" t="n"/>
      <c r="H20" s="11">
        <f>HYPERLINK("https://www.mcmaster.com/99397A267/","McMaster-Carr (50 pack)")</f>
        <v/>
      </c>
      <c r="I20" s="9" t="n"/>
      <c r="J20" s="11">
        <f>HYPERLINK("https://amzn.to/2JFQPSK","Amazon - kit")</f>
        <v/>
      </c>
      <c r="K20" s="11">
        <f>HYPERLINK("https://s.click.aliexpress.com/e/_d6tILYa","Aliexpress")</f>
        <v/>
      </c>
      <c r="L20" s="9" t="n"/>
      <c r="M20" s="11">
        <f>HYPERLINK("https://www.amazon.com/dp/B012THLK1E","Amazon")</f>
        <v/>
      </c>
      <c r="N20" s="9" t="n"/>
      <c r="O20" s="9" t="n"/>
      <c r="P20" s="9" t="n"/>
      <c r="Q20" s="9" t="n"/>
      <c r="R20" s="9" t="n"/>
      <c r="S20" s="9" t="n"/>
      <c r="T20" s="9" t="n"/>
      <c r="U20" s="9" t="n"/>
      <c r="V20" s="9" t="n"/>
    </row>
    <row r="21">
      <c r="A21" s="9" t="inlineStr">
        <is>
          <t>Hardware</t>
        </is>
      </c>
      <c r="B21" s="9" t="inlineStr">
        <is>
          <t>Makerbeam XL M3 t-nut</t>
        </is>
      </c>
      <c r="C21" s="9" t="n"/>
      <c r="D21" s="9" t="inlineStr">
        <is>
          <t>2</t>
        </is>
      </c>
      <c r="E21" s="9" t="inlineStr">
        <is>
          <t>All</t>
        </is>
      </c>
      <c r="F21" s="10">
        <f>HYPERLINK("https://amzn.to/2UKJlnQ","Amazon")</f>
        <v/>
      </c>
      <c r="G21" s="9" t="n"/>
      <c r="H21" s="11">
        <f>HYPERLINK("https://amzn.to/2YdtWOV","Amazon [Affiliate Link]")</f>
        <v/>
      </c>
      <c r="I21" s="9" t="n"/>
      <c r="J21" s="9" t="n"/>
      <c r="K21" s="9" t="n"/>
      <c r="L21" s="9" t="n"/>
      <c r="M21" s="9" t="n"/>
      <c r="N21" s="9" t="n"/>
      <c r="O21" s="9" t="n"/>
      <c r="P21" s="9" t="n"/>
      <c r="Q21" s="9" t="n"/>
      <c r="R21" s="9" t="n"/>
      <c r="S21" s="9" t="n"/>
      <c r="T21" s="9" t="n"/>
      <c r="U21" s="13" t="inlineStr">
        <is>
          <t>you can also make these by grinding down the sides of generic openbuilds m3 t nuts</t>
        </is>
      </c>
      <c r="V21" s="12" t="inlineStr">
        <is>
          <t>some links were dead</t>
        </is>
      </c>
    </row>
    <row r="22">
      <c r="A22" s="9" t="inlineStr">
        <is>
          <t>Fasteners</t>
        </is>
      </c>
      <c r="B22" s="9" t="inlineStr">
        <is>
          <t>M3 Heat Set Insert (M3x5x4)</t>
        </is>
      </c>
      <c r="C22" s="9" t="n"/>
      <c r="D22" s="9" t="inlineStr">
        <is>
          <t>50</t>
        </is>
      </c>
      <c r="E22" s="9" t="inlineStr">
        <is>
          <t>All</t>
        </is>
      </c>
      <c r="F22" s="10">
        <f>HYPERLINK("https://www.aliexpress.com/item/4000232858343.html","Aliexpress - M3x5x4")</f>
        <v/>
      </c>
      <c r="G22" s="11">
        <f>HYPERLINK("https://s.click.aliexpress.com/e/_dW3Uprs","[Affiliate Link]")</f>
        <v/>
      </c>
      <c r="H22" s="11">
        <f>HYPERLINK("https://s.click.aliexpress.com/e/_ANjqIj","Aliexpress")</f>
        <v/>
      </c>
      <c r="I22" s="9" t="n"/>
      <c r="J22" s="11">
        <f>HYPERLINK("https://www.amazon.com/dp/B077CJV3Z9","Amazon")</f>
        <v/>
      </c>
      <c r="K22" s="11">
        <f>HYPERLINK("https://s.click.aliexpress.com/e/_dWMOd8C","Aliexpress - M3x5x4")</f>
        <v/>
      </c>
      <c r="L22" s="9" t="n"/>
      <c r="M22" s="11">
        <f>HYPERLINK("https://www.mcmaster.com/94180A331/","McMaster-Carr")</f>
        <v/>
      </c>
      <c r="N22" s="11">
        <f>HYPERLINK("https://s.click.aliexpress.com/e/_dW3Uprs","AliExpress")</f>
        <v/>
      </c>
      <c r="O22" s="9" t="n"/>
      <c r="P22" s="11">
        <f>HYPERLINK("https://cnckitchenus.store/products/made-for-voron-gewindeeinsatz-threaded-insert-m3x5x4-100-stk-pcs","CNC Kitchen")</f>
        <v/>
      </c>
      <c r="Q22" s="9" t="n"/>
      <c r="R22" s="9" t="n"/>
      <c r="S22" s="9" t="n"/>
      <c r="T22" s="9" t="n"/>
      <c r="U22" s="9" t="n"/>
      <c r="V22" s="9" t="n"/>
    </row>
    <row r="23">
      <c r="A23" s="19" t="inlineStr">
        <is>
          <t>Extruder</t>
        </is>
      </c>
      <c r="B23" s="19" t="inlineStr">
        <is>
          <t>Complete BMG Extruder Clone</t>
        </is>
      </c>
      <c r="C23" s="19" t="n"/>
      <c r="D23" s="19" t="inlineStr">
        <is>
          <t>1</t>
        </is>
      </c>
      <c r="E23" s="19" t="inlineStr">
        <is>
          <t>All</t>
        </is>
      </c>
      <c r="F23" s="20">
        <f>HYPERLINK("https://www.bondtech.se/en/product/drivegear-kits","Bondtech")</f>
        <v/>
      </c>
      <c r="G23" s="19" t="n"/>
      <c r="H23" s="21">
        <f>HYPERLINK("https://www.filastruder.com/collections/bondtech/products/drivegear-kit","Filastruder")</f>
        <v/>
      </c>
      <c r="I23" s="19" t="n"/>
      <c r="J23" s="21">
        <f>HYPERLINK("https://s.click.aliexpress.com/e/_dY14nbA","Aliexpress (TL)")</f>
        <v/>
      </c>
      <c r="K23" s="21">
        <f>HYPERLINK("https://www.aliexpress.com/item/32907327548.html","TriangleLab")</f>
        <v/>
      </c>
      <c r="L23" s="21">
        <f>HYPERLINK("https://s.click.aliexpress.com/e/5dL9AJgU","[Affiliate Link]")</f>
        <v/>
      </c>
      <c r="M23" s="21">
        <f>HYPERLINK("https://s.click.aliexpress.com/e/_AU7ik2","Aliexpress (TL)")</f>
        <v/>
      </c>
      <c r="N23" s="21">
        <f>HYPERLINK("https://www.aliexpress.com/item/4000021186440.html","Aliexpress (TL)")</f>
        <v/>
      </c>
      <c r="O23" s="21">
        <f>HYPERLINK("https://s.click.aliexpress.com/e/_Alji4k","[Affiliate Link]")</f>
        <v/>
      </c>
      <c r="P23" s="21">
        <f>HYPERLINK("https://www.aliexpress.com/item/2255799834871688.html","Aliexpress (TriangleLabs)")</f>
        <v/>
      </c>
      <c r="Q23" s="21">
        <f>HYPERLINK("https://s.click.aliexpress.com/e/_dS7fWDW","TriangleLabs")</f>
        <v/>
      </c>
      <c r="R23" s="21">
        <f>HYPERLINK("https://www.aliexpress.com/item/32947193804.html","TriangleLabs")</f>
        <v/>
      </c>
      <c r="S23" s="21">
        <f>HYPERLINK("https://www.filastruder.com/products/bondtech-bmg-internals-set?_pos=1&amp;_sid=8f05bd81a&amp;_ss=r","Filastruder")</f>
        <v/>
      </c>
      <c r="T23" s="21">
        <f>HYPERLINK("https://www.printedsolid.com/products/bondtech-bmg-extruder","Printed Solid")</f>
        <v/>
      </c>
      <c r="U23" s="19" t="n"/>
      <c r="V23" s="19" t="n"/>
    </row>
    <row r="24">
      <c r="A24" s="9" t="inlineStr">
        <is>
          <t>Hardware</t>
        </is>
      </c>
      <c r="B24" s="9" t="inlineStr">
        <is>
          <t>Thumb Screw Assembly</t>
        </is>
      </c>
      <c r="C24" s="9" t="n"/>
      <c r="D24" s="9" t="inlineStr">
        <is>
          <t>1</t>
        </is>
      </c>
      <c r="E24" s="9" t="inlineStr">
        <is>
          <t>All</t>
        </is>
      </c>
      <c r="F24" s="10">
        <f>HYPERLINK("https://www.bondtech.se/en/product/thumbscrew-assembly","Bondtech")</f>
        <v/>
      </c>
      <c r="G24" s="9" t="n"/>
      <c r="H24" s="11">
        <f>HYPERLINK("https://www.filastruder.com/collections/bondtech/products/bondtech-thumbscrew-assembly","Filastruder")</f>
        <v/>
      </c>
      <c r="I24" s="9" t="n"/>
      <c r="J24" s="11">
        <f>HYPERLINK("https://s.click.aliexpress.com/e/_dUxr46o","TriangleLabs")</f>
        <v/>
      </c>
      <c r="K24" s="11">
        <f>HYPERLINK("https://www.aliexpress.com/item/32947691813.html","TriangleLabs")</f>
        <v/>
      </c>
      <c r="L24" s="9" t="n"/>
      <c r="M24" s="9" t="n"/>
      <c r="N24" s="9" t="n"/>
      <c r="O24" s="9" t="n"/>
      <c r="P24" s="9" t="n"/>
      <c r="Q24" s="9" t="n"/>
      <c r="R24" s="9" t="n"/>
      <c r="S24" s="9" t="n"/>
      <c r="T24" s="9" t="n"/>
      <c r="U24" s="9" t="n"/>
      <c r="V24" s="9" t="n"/>
    </row>
    <row r="25">
      <c r="A25" s="19" t="inlineStr">
        <is>
          <t>Extruder</t>
        </is>
      </c>
      <c r="B25" s="19" t="inlineStr">
        <is>
          <t>Shaft/Idler Assembly</t>
        </is>
      </c>
      <c r="C25" s="19" t="n"/>
      <c r="D25" s="19" t="inlineStr">
        <is>
          <t>1</t>
        </is>
      </c>
      <c r="E25" s="19" t="inlineStr">
        <is>
          <t>All</t>
        </is>
      </c>
      <c r="F25" s="20">
        <f>HYPERLINK("https://www.bondtech.se/en/product/shaft-assembly","Bondtech")</f>
        <v/>
      </c>
      <c r="G25" s="19" t="n"/>
      <c r="H25" s="21">
        <f>HYPERLINK("https://www.filastruder.com/collections/bondtech/products/bondtech-shaft-gear-assembly","Filastruder")</f>
        <v/>
      </c>
      <c r="I25" s="19" t="n"/>
      <c r="J25" s="21">
        <f>HYPERLINK("https://s.click.aliexpress.com/e/_dXUX0B6","TriangleLabs")</f>
        <v/>
      </c>
      <c r="K25" s="21">
        <f>HYPERLINK("https://www.aliexpress.com/item/32946823004.html","TriangleLabs")</f>
        <v/>
      </c>
      <c r="L25" s="19" t="n"/>
      <c r="M25" s="19" t="n"/>
      <c r="N25" s="19" t="n"/>
      <c r="O25" s="19" t="n"/>
      <c r="P25" s="19" t="n"/>
      <c r="Q25" s="19" t="n"/>
      <c r="R25" s="19" t="n"/>
      <c r="S25" s="19" t="n"/>
      <c r="T25" s="19" t="n"/>
      <c r="U25" s="19" t="n"/>
      <c r="V25" s="19" t="n"/>
    </row>
    <row r="26">
      <c r="A26" s="19" t="inlineStr">
        <is>
          <t>Extruder</t>
        </is>
      </c>
      <c r="B26" s="19" t="inlineStr">
        <is>
          <t>Bondtech Motor Gear (bowden only)</t>
        </is>
      </c>
      <c r="C26" s="19" t="n"/>
      <c r="D26" s="19" t="inlineStr">
        <is>
          <t>1</t>
        </is>
      </c>
      <c r="E26" s="19" t="inlineStr">
        <is>
          <t>All</t>
        </is>
      </c>
      <c r="F26" s="20">
        <f>HYPERLINK("https://www.bondtech.se/en/product/motor-gear","Bondtech")</f>
        <v/>
      </c>
      <c r="G26" s="19" t="n"/>
      <c r="H26" s="21">
        <f>HYPERLINK("https://www.filastruder.com/collections/bondtech/products/bondtech-motor-gear","Filastruder")</f>
        <v/>
      </c>
      <c r="I26" s="19" t="n"/>
      <c r="J26" s="21">
        <f>HYPERLINK("https://s.click.aliexpress.com/e/_d7eKr16","TriangleLabs")</f>
        <v/>
      </c>
      <c r="K26" s="21">
        <f>HYPERLINK("https://www.aliexpress.com/item/32946695708.html","TriangleLabs")</f>
        <v/>
      </c>
      <c r="L26" s="19" t="n"/>
      <c r="M26" s="19" t="n"/>
      <c r="N26" s="19" t="n"/>
      <c r="O26" s="19" t="n"/>
      <c r="P26" s="19" t="n"/>
      <c r="Q26" s="19" t="n"/>
      <c r="R26" s="19" t="n"/>
      <c r="S26" s="19" t="n"/>
      <c r="T26" s="19" t="n"/>
      <c r="U26" s="19" t="n"/>
      <c r="V26" s="19" t="n"/>
    </row>
    <row r="27">
      <c r="A27" s="19" t="inlineStr">
        <is>
          <t>Extruder</t>
        </is>
      </c>
      <c r="B27" s="19" t="inlineStr">
        <is>
          <t>MR85 Bearing</t>
        </is>
      </c>
      <c r="C27" s="19" t="n"/>
      <c r="D27" s="19" t="inlineStr">
        <is>
          <t>2</t>
        </is>
      </c>
      <c r="E27" s="19" t="inlineStr">
        <is>
          <t>All</t>
        </is>
      </c>
      <c r="F27" s="20">
        <f>HYPERLINK("https://www.bondtech.se/en/product/ballbearing-5x8x2-5","Bondtech")</f>
        <v/>
      </c>
      <c r="G27" s="19" t="n"/>
      <c r="H27" s="21">
        <f>HYPERLINK("https://s.click.aliexpress.com/e/_dZPCzjq","TriangleLabs")</f>
        <v/>
      </c>
      <c r="I27" s="19" t="n"/>
      <c r="J27" s="19" t="n"/>
      <c r="K27" s="19" t="n"/>
      <c r="L27" s="19" t="n"/>
      <c r="M27" s="19" t="n"/>
      <c r="N27" s="19" t="n"/>
      <c r="O27" s="19" t="n"/>
      <c r="P27" s="19" t="n"/>
      <c r="Q27" s="19" t="n"/>
      <c r="R27" s="19" t="n"/>
      <c r="S27" s="19" t="n"/>
      <c r="T27" s="19" t="n"/>
      <c r="U27" s="19" t="n"/>
      <c r="V27" s="19" t="n"/>
    </row>
    <row r="28">
      <c r="A28" s="30" t="inlineStr">
        <is>
          <t>Frame</t>
        </is>
      </c>
      <c r="B28" s="30" t="inlineStr">
        <is>
          <t>Makerbeam XL 15x15 200mm</t>
        </is>
      </c>
      <c r="C28" s="30" t="n"/>
      <c r="D28" s="30" t="inlineStr">
        <is>
          <t>16</t>
        </is>
      </c>
      <c r="E28" s="30" t="inlineStr">
        <is>
          <t>All</t>
        </is>
      </c>
      <c r="F28" s="32">
        <f>HYPERLINK("https://amzn.to/3aHQ2M1","Amazon [Affiliate Link]")</f>
        <v/>
      </c>
      <c r="G28" s="30" t="n"/>
      <c r="H28" s="30" t="n"/>
      <c r="I28" s="30" t="n"/>
      <c r="J28" s="30" t="n"/>
      <c r="K28" s="30" t="n"/>
      <c r="L28" s="30" t="n"/>
      <c r="M28" s="30" t="n"/>
      <c r="N28" s="30" t="n"/>
      <c r="O28" s="30" t="n"/>
      <c r="P28" s="30" t="n"/>
      <c r="Q28" s="30" t="n"/>
      <c r="R28" s="30" t="n"/>
      <c r="S28" s="30" t="n"/>
      <c r="T28" s="30" t="n"/>
      <c r="U28" s="34" t="inlineStr">
        <is>
          <t>misumi 1515 also works</t>
        </is>
      </c>
      <c r="V28" s="31" t="inlineStr">
        <is>
          <t>some links were dead</t>
        </is>
      </c>
    </row>
    <row r="29">
      <c r="A29" s="30" t="inlineStr">
        <is>
          <t>Frame</t>
        </is>
      </c>
      <c r="B29" s="30" t="inlineStr">
        <is>
          <t>Makerbeam XL 15x15 100mm</t>
        </is>
      </c>
      <c r="C29" s="30" t="n"/>
      <c r="D29" s="30" t="inlineStr">
        <is>
          <t>3</t>
        </is>
      </c>
      <c r="E29" s="30" t="inlineStr">
        <is>
          <t>All</t>
        </is>
      </c>
      <c r="F29" s="30" t="n"/>
      <c r="G29" s="30" t="n"/>
      <c r="H29" s="30" t="n"/>
      <c r="I29" s="30" t="n"/>
      <c r="J29" s="30" t="n"/>
      <c r="K29" s="30" t="n"/>
      <c r="L29" s="30" t="n"/>
      <c r="M29" s="30" t="n"/>
      <c r="N29" s="30" t="n"/>
      <c r="O29" s="30" t="n"/>
      <c r="P29" s="30" t="n"/>
      <c r="Q29" s="30" t="n"/>
      <c r="R29" s="30" t="n"/>
      <c r="S29" s="30" t="n"/>
      <c r="T29" s="30" t="n"/>
      <c r="U29" s="34" t="inlineStr">
        <is>
          <t>misumi 1515 also works or cut a 200mm makerbeamXL in half</t>
        </is>
      </c>
      <c r="V29" s="30" t="n"/>
    </row>
    <row r="30">
      <c r="A30" s="24" t="inlineStr">
        <is>
          <t>Electronics</t>
        </is>
      </c>
      <c r="B30" s="24" t="inlineStr">
        <is>
          <t>Meanwell LRS-150-24</t>
        </is>
      </c>
      <c r="C30" s="24" t="n"/>
      <c r="D30" s="24" t="inlineStr">
        <is>
          <t>1</t>
        </is>
      </c>
      <c r="E30" s="24" t="inlineStr">
        <is>
          <t>All</t>
        </is>
      </c>
      <c r="F30" s="25">
        <f>HYPERLINK("https://www.mouser.com/ProductDetail/MEAN-WELL/LRS-150-24?qs=%2Fha2pyFadujaj%2F6cO0Hh6kYnnLsf9IOqcNQ0fcoOAnOylsolKT1NZQ%3D%3D","Mouser")</f>
        <v/>
      </c>
      <c r="G30" s="24" t="n"/>
      <c r="H30" s="24" t="n"/>
      <c r="I30" s="24" t="n"/>
      <c r="J30" s="24" t="n"/>
      <c r="K30" s="24" t="n"/>
      <c r="L30" s="24" t="n"/>
      <c r="M30" s="24" t="n"/>
      <c r="N30" s="24" t="n"/>
      <c r="O30" s="24" t="n"/>
      <c r="P30" s="24" t="n"/>
      <c r="Q30" s="24" t="n"/>
      <c r="R30" s="24" t="n"/>
      <c r="S30" s="24" t="n"/>
      <c r="T30" s="24" t="n"/>
      <c r="U30" s="27" t="inlineStr">
        <is>
          <t>LRS-150f-24 is also acceptable</t>
        </is>
      </c>
      <c r="V30" s="28" t="inlineStr">
        <is>
          <t>some links were dead</t>
        </is>
      </c>
    </row>
    <row r="31">
      <c r="A31" s="24" t="inlineStr">
        <is>
          <t>Electronics</t>
        </is>
      </c>
      <c r="B31" s="24" t="inlineStr">
        <is>
          <t>DC/DC PSU/buck converter - 24V to 5V</t>
        </is>
      </c>
      <c r="C31" s="24" t="n"/>
      <c r="D31" s="24" t="inlineStr">
        <is>
          <t>1</t>
        </is>
      </c>
      <c r="E31" s="24" t="inlineStr">
        <is>
          <t>All</t>
        </is>
      </c>
      <c r="F31" s="25">
        <f>HYPERLINK("https://amzn.to/2KIBNMw","Amazon [Affiliate Link]")</f>
        <v/>
      </c>
      <c r="G31" s="24" t="n"/>
      <c r="H31" s="26">
        <f>HYPERLINK("https://s.click.aliexpress.com/e/_Bfg1Siru","Aliexpress")</f>
        <v/>
      </c>
      <c r="I31" s="24" t="n"/>
      <c r="J31" s="24" t="n"/>
      <c r="K31" s="24" t="n"/>
      <c r="L31" s="24" t="n"/>
      <c r="M31" s="24" t="n"/>
      <c r="N31" s="24" t="n"/>
      <c r="O31" s="24" t="n"/>
      <c r="P31" s="24" t="n"/>
      <c r="Q31" s="24" t="n"/>
      <c r="R31" s="24" t="n"/>
      <c r="S31" s="24" t="n"/>
      <c r="T31" s="24" t="n"/>
      <c r="U31" s="24" t="n"/>
      <c r="V31" s="28" t="inlineStr">
        <is>
          <t>some links were dead</t>
        </is>
      </c>
    </row>
    <row r="32">
      <c r="A32" s="24" t="inlineStr">
        <is>
          <t>Electronics</t>
        </is>
      </c>
      <c r="B32" s="24" t="inlineStr">
        <is>
          <t>Bigtreetech SKR mini E3 (v2)</t>
        </is>
      </c>
      <c r="C32" s="24" t="n"/>
      <c r="D32" s="24" t="inlineStr">
        <is>
          <t>1</t>
        </is>
      </c>
      <c r="E32" s="24" t="inlineStr">
        <is>
          <t>All</t>
        </is>
      </c>
      <c r="F32" s="25">
        <f>HYPERLINK("https://s.click.aliexpress.com/e/_9yHMVF","Aliexpress")</f>
        <v/>
      </c>
      <c r="G32" s="24" t="n"/>
      <c r="H32" s="24" t="n"/>
      <c r="I32" s="24" t="n"/>
      <c r="J32" s="24" t="n"/>
      <c r="K32" s="24" t="n"/>
      <c r="L32" s="24" t="n"/>
      <c r="M32" s="24" t="n"/>
      <c r="N32" s="24" t="n"/>
      <c r="O32" s="24" t="n"/>
      <c r="P32" s="24" t="n"/>
      <c r="Q32" s="24" t="n"/>
      <c r="R32" s="24" t="n"/>
      <c r="S32" s="24" t="n"/>
      <c r="T32" s="24" t="n"/>
      <c r="U32" s="27" t="inlineStr">
        <is>
          <t>Space is a Premium</t>
        </is>
      </c>
      <c r="V32" s="28" t="inlineStr">
        <is>
          <t>some links were dead</t>
        </is>
      </c>
    </row>
    <row r="33">
      <c r="A33" s="24" t="inlineStr">
        <is>
          <t>Electronics</t>
        </is>
      </c>
      <c r="B33" s="24" t="inlineStr">
        <is>
          <t>Raspberry Pi 3</t>
        </is>
      </c>
      <c r="C33" s="24" t="n"/>
      <c r="D33" s="24" t="inlineStr">
        <is>
          <t>1</t>
        </is>
      </c>
      <c r="E33" s="24" t="inlineStr">
        <is>
          <t>All</t>
        </is>
      </c>
      <c r="F33" s="25">
        <f>HYPERLINK("https://www.adafruit.com/product/3775","Adafruit")</f>
        <v/>
      </c>
      <c r="G33" s="24" t="n"/>
      <c r="H33" s="24" t="n"/>
      <c r="I33" s="24" t="n"/>
      <c r="J33" s="24" t="n"/>
      <c r="K33" s="24" t="n"/>
      <c r="L33" s="24" t="n"/>
      <c r="M33" s="24" t="n"/>
      <c r="N33" s="24" t="n"/>
      <c r="O33" s="24" t="n"/>
      <c r="P33" s="24" t="n"/>
      <c r="Q33" s="24" t="n"/>
      <c r="R33" s="24" t="n"/>
      <c r="S33" s="24" t="n"/>
      <c r="T33" s="24" t="n"/>
      <c r="U33" s="27" t="inlineStr">
        <is>
          <t>pi3 or better, if you are running Fluid or mainsail a pi0 is enough</t>
        </is>
      </c>
      <c r="V33" s="24" t="n"/>
    </row>
    <row r="34">
      <c r="A34" s="5" t="inlineStr">
        <is>
          <t>Controller</t>
        </is>
      </c>
      <c r="B34" s="5" t="inlineStr">
        <is>
          <t>MicroSD Card</t>
        </is>
      </c>
      <c r="C34" s="5" t="n"/>
      <c r="D34" s="5" t="inlineStr">
        <is>
          <t>1</t>
        </is>
      </c>
      <c r="E34" s="5" t="inlineStr">
        <is>
          <t>All</t>
        </is>
      </c>
      <c r="F34" s="6">
        <f>HYPERLINK("https://www.amazon.com/dp/B073JYVKNX","Amazon (64gb)")</f>
        <v/>
      </c>
      <c r="G34" s="5" t="n"/>
      <c r="H34" s="7">
        <f>HYPERLINK("https://www.amazon.com/dp/B0749KG1JK","Amazon (32gb)")</f>
        <v/>
      </c>
      <c r="I34" s="5" t="n"/>
      <c r="J34" s="7">
        <f>HYPERLINK("https://amzn.to/2PDYXWX","Amazon")</f>
        <v/>
      </c>
      <c r="K34" s="5" t="n"/>
      <c r="L34" s="5" t="n"/>
      <c r="M34" s="5" t="n"/>
      <c r="N34" s="5" t="n"/>
      <c r="O34" s="5" t="n"/>
      <c r="P34" s="5" t="n"/>
      <c r="Q34" s="5" t="n"/>
      <c r="R34" s="5" t="n"/>
      <c r="S34" s="5" t="n"/>
      <c r="T34" s="5" t="n"/>
      <c r="U34" s="5" t="n"/>
      <c r="V34" s="5" t="n"/>
    </row>
    <row r="35">
      <c r="A35" s="24" t="inlineStr">
        <is>
          <t>Electronics</t>
        </is>
      </c>
      <c r="B35" s="24" t="inlineStr">
        <is>
          <t>NEMA14 Stepper Motor 40Ncm</t>
        </is>
      </c>
      <c r="C35" s="24" t="n"/>
      <c r="D35" s="24" t="inlineStr">
        <is>
          <t>2</t>
        </is>
      </c>
      <c r="E35" s="24" t="inlineStr">
        <is>
          <t>All</t>
        </is>
      </c>
      <c r="F35" s="25">
        <f>HYPERLINK("https://www.omc-stepperonline.com/nema-14-bipolar-1-8deg-40ncm-56-7oz-in-1-5a-4-2v-35x35x52mm-4-wires-14hs20-1504s","OMC Stepper")</f>
        <v/>
      </c>
      <c r="G35" s="24" t="n"/>
      <c r="H35" s="26">
        <f>HYPERLINK("https://s.click.aliexpress.com/e/_AdKnDl","Aliexpress")</f>
        <v/>
      </c>
      <c r="I35" s="24" t="n"/>
      <c r="J35" s="26">
        <f>HYPERLINK("https://www.omc-stepperonline.com/voron-v0-1-bom-of-stepper-motors-14hs20-1504s-14hr07-1004vrn-17ls13-0404e-200g-voronv01","Full Motor Kit")</f>
        <v/>
      </c>
      <c r="K35" s="24" t="n"/>
      <c r="L35" s="24" t="n"/>
      <c r="M35" s="24" t="n"/>
      <c r="N35" s="24" t="n"/>
      <c r="O35" s="24" t="n"/>
      <c r="P35" s="24" t="n"/>
      <c r="Q35" s="24" t="n"/>
      <c r="R35" s="24" t="n"/>
      <c r="S35" s="24" t="n"/>
      <c r="T35" s="24" t="n"/>
      <c r="U35" s="27" t="inlineStr">
        <is>
          <t>OMC: (14HS20-1504S) LDO:(35STH48-1684AHVRN)</t>
        </is>
      </c>
      <c r="V35" s="24" t="n"/>
    </row>
    <row r="36">
      <c r="A36" s="24" t="inlineStr">
        <is>
          <t>Electronics</t>
        </is>
      </c>
      <c r="B36" s="24" t="inlineStr">
        <is>
          <t>NEMA17 Stepper Motor with integrated lead screw 200mm T8x8</t>
        </is>
      </c>
      <c r="C36" s="24" t="n"/>
      <c r="D36" s="24" t="inlineStr">
        <is>
          <t>1</t>
        </is>
      </c>
      <c r="E36" s="24" t="inlineStr">
        <is>
          <t>All</t>
        </is>
      </c>
      <c r="F36" s="25">
        <f>HYPERLINK("https://www.omc-stepperonline.com/nema-17-external-34mm-stack-04a-lead-8mm031496-length-200mm-17ls13-0404e-200g.html","OMC Stepper")</f>
        <v/>
      </c>
      <c r="G36" s="24" t="n"/>
      <c r="H36" s="24" t="n"/>
      <c r="I36" s="24" t="n"/>
      <c r="J36" s="24" t="n"/>
      <c r="K36" s="24" t="n"/>
      <c r="L36" s="24" t="n"/>
      <c r="M36" s="24" t="n"/>
      <c r="N36" s="24" t="n"/>
      <c r="O36" s="24" t="n"/>
      <c r="P36" s="24" t="n"/>
      <c r="Q36" s="24" t="n"/>
      <c r="R36" s="24" t="n"/>
      <c r="S36" s="24" t="n"/>
      <c r="T36" s="24" t="n"/>
      <c r="U36" s="27" t="inlineStr">
        <is>
          <t>OMC: (17LS13-0404E-200G) LDO: (42STH25-1004CL200E)</t>
        </is>
      </c>
      <c r="V36" s="28" t="inlineStr">
        <is>
          <t>some links were dead</t>
        </is>
      </c>
    </row>
    <row r="37">
      <c r="A37" s="24" t="inlineStr">
        <is>
          <t>Electronics</t>
        </is>
      </c>
      <c r="B37" s="24" t="inlineStr">
        <is>
          <t>NEMA14 36mm round pancake Stepper Motor with 10 tooth spur gear (OMC 14HR07-1004VRN)</t>
        </is>
      </c>
      <c r="C37" s="24" t="n"/>
      <c r="D37" s="24" t="inlineStr">
        <is>
          <t>1</t>
        </is>
      </c>
      <c r="E37" s="24" t="inlineStr">
        <is>
          <t>All</t>
        </is>
      </c>
      <c r="F37" s="25">
        <f>HYPERLINK("https://www.omc-stepperonline.com/round-nema-14-bipolar-0-9deg-9-ncm-12-75-oz-in-1-0a-%CF%8636x17-5mm-4-wires-14hr07-1004vrn","OMC Stepper")</f>
        <v/>
      </c>
      <c r="G37" s="24" t="n"/>
      <c r="H37" s="24" t="n"/>
      <c r="I37" s="24" t="n"/>
      <c r="J37" s="24" t="n"/>
      <c r="K37" s="24" t="n"/>
      <c r="L37" s="24" t="n"/>
      <c r="M37" s="24" t="n"/>
      <c r="N37" s="24" t="n"/>
      <c r="O37" s="24" t="n"/>
      <c r="P37" s="24" t="n"/>
      <c r="Q37" s="24" t="n"/>
      <c r="R37" s="24" t="n"/>
      <c r="S37" s="24" t="n"/>
      <c r="T37" s="24" t="n"/>
      <c r="U37" s="27" t="inlineStr">
        <is>
          <t>Both the OMC and LDO stepper motor work well. Pick whichever you prefer.</t>
        </is>
      </c>
      <c r="V37" s="24" t="n"/>
    </row>
    <row r="38">
      <c r="A38" s="24" t="inlineStr">
        <is>
          <t>Electronics</t>
        </is>
      </c>
      <c r="B38" s="24" t="inlineStr">
        <is>
          <t>NEMA14 36mm round pancake Stepper Motor with 10 tooth spur gear (LDO 36STH20-1004AHG)</t>
        </is>
      </c>
      <c r="C38" s="24" t="n"/>
      <c r="D38" s="24" t="inlineStr">
        <is>
          <t>1</t>
        </is>
      </c>
      <c r="E38" s="24" t="inlineStr">
        <is>
          <t>All</t>
        </is>
      </c>
      <c r="F38" s="25">
        <f>HYPERLINK("https://s.click.aliexpress.com/e/_DBnmZ1l","Aliexpress")</f>
        <v/>
      </c>
      <c r="G38" s="24" t="n"/>
      <c r="H38" s="26">
        <f>HYPERLINK("https://s.click.aliexpress.com/e/_A2WTM8","Aliexpress")</f>
        <v/>
      </c>
      <c r="I38" s="24" t="n"/>
      <c r="J38" s="24" t="n"/>
      <c r="K38" s="24" t="n"/>
      <c r="L38" s="24" t="n"/>
      <c r="M38" s="24" t="n"/>
      <c r="N38" s="24" t="n"/>
      <c r="O38" s="24" t="n"/>
      <c r="P38" s="24" t="n"/>
      <c r="Q38" s="24" t="n"/>
      <c r="R38" s="24" t="n"/>
      <c r="S38" s="24" t="n"/>
      <c r="T38" s="24" t="n"/>
      <c r="U38" s="24" t="n"/>
      <c r="V38" s="24" t="n"/>
    </row>
    <row r="39">
      <c r="A39" s="24" t="inlineStr">
        <is>
          <t>Electronics</t>
        </is>
      </c>
      <c r="B39" s="24" t="inlineStr">
        <is>
          <t>3010 blower fans 24V</t>
        </is>
      </c>
      <c r="C39" s="24" t="n"/>
      <c r="D39" s="24" t="inlineStr">
        <is>
          <t>2</t>
        </is>
      </c>
      <c r="E39" s="24" t="inlineStr">
        <is>
          <t>All</t>
        </is>
      </c>
      <c r="F39" s="25">
        <f>HYPERLINK("https://s.click.aliexpress.com/e/_d8S7D6y","gdstime ali")</f>
        <v/>
      </c>
      <c r="G39" s="24" t="n"/>
      <c r="H39" s="26">
        <f>HYPERLINK("https://s.click.aliexpress.com/e/_DlbccTf","Aliexpress")</f>
        <v/>
      </c>
      <c r="I39" s="24" t="n"/>
      <c r="J39" s="26">
        <f>HYPERLINK("https://www.digikey.com/en/products/detail/delta-electronics/BFB0305HHA-C/11563392","Digikey (5v)")</f>
        <v/>
      </c>
      <c r="K39" s="24" t="n"/>
      <c r="L39" s="24" t="n"/>
      <c r="M39" s="24" t="n"/>
      <c r="N39" s="24" t="n"/>
      <c r="O39" s="24" t="n"/>
      <c r="P39" s="24" t="n"/>
      <c r="Q39" s="24" t="n"/>
      <c r="R39" s="24" t="n"/>
      <c r="S39" s="24" t="n"/>
      <c r="T39" s="24" t="n"/>
      <c r="U39" s="24" t="n"/>
      <c r="V39" s="24" t="n"/>
    </row>
    <row r="40">
      <c r="A40" s="24" t="inlineStr">
        <is>
          <t>Electronics</t>
        </is>
      </c>
      <c r="B40" s="24" t="inlineStr">
        <is>
          <t>3007 axial fan 5V (min 3.5CFM)</t>
        </is>
      </c>
      <c r="C40" s="24" t="n"/>
      <c r="D40" s="24" t="inlineStr">
        <is>
          <t>1</t>
        </is>
      </c>
      <c r="E40" s="24" t="inlineStr">
        <is>
          <t>All</t>
        </is>
      </c>
      <c r="F40" s="25">
        <f>HYPERLINK("https://www.digikey.com/en/products/detail/sunon-fans/4127-MF30060V1-1000U-A99/9838567","Digikey")</f>
        <v/>
      </c>
      <c r="G40" s="24" t="n"/>
      <c r="H40" s="26">
        <f>HYPERLINK("https://www.digikey.com/en/products/detail/delta-electronics/ASB0305HP-00CP4/7403227","Digikey")</f>
        <v/>
      </c>
      <c r="I40" s="24" t="n"/>
      <c r="J40" s="24" t="n"/>
      <c r="K40" s="24" t="n"/>
      <c r="L40" s="24" t="n"/>
      <c r="M40" s="24" t="n"/>
      <c r="N40" s="24" t="n"/>
      <c r="O40" s="24" t="n"/>
      <c r="P40" s="24" t="n"/>
      <c r="Q40" s="24" t="n"/>
      <c r="R40" s="24" t="n"/>
      <c r="S40" s="24" t="n"/>
      <c r="T40" s="24" t="n"/>
      <c r="U40" s="27" t="inlineStr">
        <is>
          <t>not required if using a mosquito hotend</t>
        </is>
      </c>
      <c r="V40" s="24" t="n"/>
    </row>
    <row r="41">
      <c r="A41" s="24" t="inlineStr">
        <is>
          <t>Electronics</t>
        </is>
      </c>
      <c r="B41" s="24" t="inlineStr">
        <is>
          <t>Omron Mouse Button - Micro Switch</t>
        </is>
      </c>
      <c r="C41" s="24" t="n"/>
      <c r="D41" s="24" t="inlineStr">
        <is>
          <t>3</t>
        </is>
      </c>
      <c r="E41" s="24" t="inlineStr">
        <is>
          <t>All</t>
        </is>
      </c>
      <c r="F41" s="25">
        <f>HYPERLINK("https://www.digikey.com/product-detail/en/omron-electronics-inc-emc-div/D2F-5L/Z8846-ND/8593137","Digikey")</f>
        <v/>
      </c>
      <c r="G41" s="24" t="n"/>
      <c r="H41" s="26">
        <f>HYPERLINK("https://www.digikey.com/en/products/detail/omron-electronics-inc-emc-div/D2F-01L/83264","Digikey")</f>
        <v/>
      </c>
      <c r="I41" s="24" t="n"/>
      <c r="J41" s="26">
        <f>HYPERLINK("https://www.digikey.com/product-detail/en/omron-electronics-inc-emc-div/D2F-5/Z8845-ND/8593136","Digikey")</f>
        <v/>
      </c>
      <c r="K41" s="24" t="n"/>
      <c r="L41" s="24" t="n"/>
      <c r="M41" s="24" t="n"/>
      <c r="N41" s="24" t="n"/>
      <c r="O41" s="24" t="n"/>
      <c r="P41" s="24" t="n"/>
      <c r="Q41" s="24" t="n"/>
      <c r="R41" s="24" t="n"/>
      <c r="S41" s="24" t="n"/>
      <c r="T41" s="24" t="n"/>
      <c r="U41" s="24" t="n"/>
      <c r="V41" s="24" t="n"/>
    </row>
    <row r="42">
      <c r="A42" s="24" t="inlineStr">
        <is>
          <t>Electronics</t>
        </is>
      </c>
      <c r="B42" s="24" t="inlineStr">
        <is>
          <t>C13 Power Cord</t>
        </is>
      </c>
      <c r="C42" s="24" t="n"/>
      <c r="D42" s="24" t="inlineStr">
        <is>
          <t>1</t>
        </is>
      </c>
      <c r="E42" s="24" t="inlineStr">
        <is>
          <t>All</t>
        </is>
      </c>
      <c r="F42" s="25">
        <f>HYPERLINK("https://www.amazon.com/dp/B072LNKHBB","Amazon")</f>
        <v/>
      </c>
      <c r="G42" s="24" t="n"/>
      <c r="H42" s="24" t="n"/>
      <c r="I42" s="24" t="n"/>
      <c r="J42" s="24" t="n"/>
      <c r="K42" s="24" t="n"/>
      <c r="L42" s="24" t="n"/>
      <c r="M42" s="24" t="n"/>
      <c r="N42" s="24" t="n"/>
      <c r="O42" s="24" t="n"/>
      <c r="P42" s="24" t="n"/>
      <c r="Q42" s="24" t="n"/>
      <c r="R42" s="24" t="n"/>
      <c r="S42" s="24" t="n"/>
      <c r="T42" s="24" t="n"/>
      <c r="U42" s="27" t="inlineStr">
        <is>
          <t>common cord found at any store that sells electronics</t>
        </is>
      </c>
      <c r="V42" s="24" t="n"/>
    </row>
    <row r="43">
      <c r="A43" s="24" t="inlineStr">
        <is>
          <t>Electronics</t>
        </is>
      </c>
      <c r="B43" s="24" t="inlineStr">
        <is>
          <t>IEC320 C14 Inlet - Push-fit - w/ Rocker Switch &amp; Fuse</t>
        </is>
      </c>
      <c r="C43" s="24" t="n"/>
      <c r="D43" s="24" t="inlineStr">
        <is>
          <t>1</t>
        </is>
      </c>
      <c r="E43" s="24" t="inlineStr">
        <is>
          <t>All</t>
        </is>
      </c>
      <c r="F43" s="25">
        <f>HYPERLINK("https://www.digikey.com/en/products/detail/adam-tech/IEC-GS-1-100/9831135","See note for PiF Digikey")</f>
        <v/>
      </c>
      <c r="G43" s="24" t="n"/>
      <c r="H43" s="24" t="n"/>
      <c r="I43" s="24" t="n"/>
      <c r="J43" s="24" t="n"/>
      <c r="K43" s="24" t="n"/>
      <c r="L43" s="24" t="n"/>
      <c r="M43" s="24" t="n"/>
      <c r="N43" s="24" t="n"/>
      <c r="O43" s="24" t="n"/>
      <c r="P43" s="24" t="n"/>
      <c r="Q43" s="24" t="n"/>
      <c r="R43" s="24" t="n"/>
      <c r="S43" s="24" t="n"/>
      <c r="T43" s="24" t="n"/>
      <c r="U43" s="24" t="n"/>
      <c r="V43" s="24" t="n"/>
    </row>
    <row r="44">
      <c r="A44" s="24" t="inlineStr">
        <is>
          <t>Electronics</t>
        </is>
      </c>
      <c r="B44" s="24" t="inlineStr">
        <is>
          <t>Fuse 2.5A 250V Holder Cartridge 5 X 20mm Glass</t>
        </is>
      </c>
      <c r="C44" s="24" t="n"/>
      <c r="D44" s="24" t="inlineStr">
        <is>
          <t>1</t>
        </is>
      </c>
      <c r="E44" s="24" t="inlineStr">
        <is>
          <t>All</t>
        </is>
      </c>
      <c r="F44" s="25">
        <f>HYPERLINK("https://www.digikey.com/en/products/detail/littelfuse-inc/061702-5MXP/5233765","Digikey")</f>
        <v/>
      </c>
      <c r="G44" s="24" t="n"/>
      <c r="H44" s="24" t="n"/>
      <c r="I44" s="24" t="n"/>
      <c r="J44" s="24" t="n"/>
      <c r="K44" s="24" t="n"/>
      <c r="L44" s="24" t="n"/>
      <c r="M44" s="24" t="n"/>
      <c r="N44" s="24" t="n"/>
      <c r="O44" s="24" t="n"/>
      <c r="P44" s="24" t="n"/>
      <c r="Q44" s="24" t="n"/>
      <c r="R44" s="24" t="n"/>
      <c r="S44" s="24" t="n"/>
      <c r="T44" s="24" t="n"/>
      <c r="U44" s="24" t="n"/>
      <c r="V44" s="24" t="n"/>
    </row>
    <row r="45">
      <c r="A45" s="24" t="inlineStr">
        <is>
          <t>Electronics</t>
        </is>
      </c>
      <c r="B45" s="24" t="inlineStr">
        <is>
          <t>Threaded v6 Hotend kit 24V (All Metal)</t>
        </is>
      </c>
      <c r="C45" s="24" t="n"/>
      <c r="D45" s="24" t="inlineStr">
        <is>
          <t>1</t>
        </is>
      </c>
      <c r="E45" s="24" t="inlineStr">
        <is>
          <t>All</t>
        </is>
      </c>
      <c r="F45" s="25">
        <f>HYPERLINK("https://s.click.aliexpress.com/e/_dWCqSj2","Aliexpress")</f>
        <v/>
      </c>
      <c r="G45" s="24" t="n"/>
      <c r="H45" s="26">
        <f>HYPERLINK("https://www.aliexpress.com/item/32888737278.html","Aliexpress")</f>
        <v/>
      </c>
      <c r="I45" s="24" t="n"/>
      <c r="J45" s="24" t="n"/>
      <c r="K45" s="24" t="n"/>
      <c r="L45" s="24" t="n"/>
      <c r="M45" s="24" t="n"/>
      <c r="N45" s="24" t="n"/>
      <c r="O45" s="24" t="n"/>
      <c r="P45" s="24" t="n"/>
      <c r="Q45" s="24" t="n"/>
      <c r="R45" s="24" t="n"/>
      <c r="S45" s="24" t="n"/>
      <c r="T45" s="24" t="n"/>
      <c r="U45" s="27" t="inlineStr">
        <is>
          <t>Bowden toolhead only</t>
        </is>
      </c>
      <c r="V45" s="24" t="n"/>
    </row>
    <row r="46">
      <c r="A46" s="9" t="inlineStr">
        <is>
          <t>Hotend</t>
        </is>
      </c>
      <c r="B46" s="9" t="inlineStr">
        <is>
          <t>TriangleLab Dragon Hotend</t>
        </is>
      </c>
      <c r="C46" s="9" t="n"/>
      <c r="D46" s="9" t="inlineStr">
        <is>
          <t>1</t>
        </is>
      </c>
      <c r="E46" s="9" t="inlineStr">
        <is>
          <t>All</t>
        </is>
      </c>
      <c r="F46" s="9" t="n"/>
      <c r="G46" s="9" t="n"/>
      <c r="H46" s="9" t="n"/>
      <c r="I46" s="9" t="n"/>
      <c r="J46" s="9" t="n"/>
      <c r="K46" s="9" t="n"/>
      <c r="L46" s="9" t="n"/>
      <c r="M46" s="9" t="n"/>
      <c r="N46" s="9" t="n"/>
      <c r="O46" s="9" t="n"/>
      <c r="P46" s="9" t="n"/>
      <c r="Q46" s="9" t="n"/>
      <c r="R46" s="9" t="n"/>
      <c r="S46" s="9" t="n"/>
      <c r="T46" s="9" t="n"/>
      <c r="U46" s="13" t="inlineStr">
        <is>
          <t>It is not recommended to use a high flow hotend with a 3007 fan for cooling if you are only using a 0.4 nozzle.</t>
        </is>
      </c>
      <c r="V46" s="12" t="inlineStr">
        <is>
          <t>all links were dead</t>
        </is>
      </c>
    </row>
    <row r="47">
      <c r="A47" s="24" t="inlineStr">
        <is>
          <t>Electronics</t>
        </is>
      </c>
      <c r="B47" s="24" t="inlineStr">
        <is>
          <t>Dragon Fly BMO Hotend</t>
        </is>
      </c>
      <c r="C47" s="24" t="n"/>
      <c r="D47" s="24" t="inlineStr">
        <is>
          <t>1</t>
        </is>
      </c>
      <c r="E47" s="24" t="inlineStr">
        <is>
          <t>All</t>
        </is>
      </c>
      <c r="F47" s="25">
        <f>HYPERLINK("https://s.click.aliexpress.com/e/_9ht8Ir","Aliexpress")</f>
        <v/>
      </c>
      <c r="G47" s="24" t="n"/>
      <c r="H47" s="24" t="n"/>
      <c r="I47" s="24" t="n"/>
      <c r="J47" s="24" t="n"/>
      <c r="K47" s="24" t="n"/>
      <c r="L47" s="24" t="n"/>
      <c r="M47" s="24" t="n"/>
      <c r="N47" s="24" t="n"/>
      <c r="O47" s="24" t="n"/>
      <c r="P47" s="24" t="n"/>
      <c r="Q47" s="24" t="n"/>
      <c r="R47" s="24" t="n"/>
      <c r="S47" s="24" t="n"/>
      <c r="T47" s="24" t="n"/>
      <c r="U47" s="24" t="n"/>
      <c r="V47" s="24" t="n"/>
    </row>
    <row r="48">
      <c r="A48" s="24" t="inlineStr">
        <is>
          <t>Electronics</t>
        </is>
      </c>
      <c r="B48" s="24" t="inlineStr">
        <is>
          <t>24V Heater Cartridge (slim wires)</t>
        </is>
      </c>
      <c r="C48" s="24" t="n"/>
      <c r="D48" s="24" t="inlineStr">
        <is>
          <t>1</t>
        </is>
      </c>
      <c r="E48" s="24" t="inlineStr">
        <is>
          <t>All</t>
        </is>
      </c>
      <c r="F48" s="25">
        <f>HYPERLINK("https://amzn.to/2VJlFAu","Amazon [Affiliate Link]")</f>
        <v/>
      </c>
      <c r="G48" s="24" t="n"/>
      <c r="H48" s="24" t="n"/>
      <c r="I48" s="24" t="n"/>
      <c r="J48" s="24" t="n"/>
      <c r="K48" s="24" t="n"/>
      <c r="L48" s="24" t="n"/>
      <c r="M48" s="24" t="n"/>
      <c r="N48" s="24" t="n"/>
      <c r="O48" s="24" t="n"/>
      <c r="P48" s="24" t="n"/>
      <c r="Q48" s="24" t="n"/>
      <c r="R48" s="24" t="n"/>
      <c r="S48" s="24" t="n"/>
      <c r="T48" s="24" t="n"/>
      <c r="U48" s="27" t="inlineStr">
        <is>
          <t>this heater cart has thin wires that can be easier to route</t>
        </is>
      </c>
      <c r="V48" s="24" t="n"/>
    </row>
    <row r="49">
      <c r="A49" s="24" t="inlineStr">
        <is>
          <t>Electronics</t>
        </is>
      </c>
      <c r="B49" s="24" t="inlineStr">
        <is>
          <t>Thermistor for your hotend of choice</t>
        </is>
      </c>
      <c r="C49" s="24" t="n"/>
      <c r="D49" s="24" t="inlineStr">
        <is>
          <t>1</t>
        </is>
      </c>
      <c r="E49" s="24" t="inlineStr">
        <is>
          <t>All</t>
        </is>
      </c>
      <c r="F49" s="25">
        <f>HYPERLINK("https://s.click.aliexpress.com/e/_dZx4X0S","Aliexpress")</f>
        <v/>
      </c>
      <c r="G49" s="24" t="n"/>
      <c r="H49" s="24" t="n"/>
      <c r="I49" s="24" t="n"/>
      <c r="J49" s="24" t="n"/>
      <c r="K49" s="24" t="n"/>
      <c r="L49" s="24" t="n"/>
      <c r="M49" s="24" t="n"/>
      <c r="N49" s="24" t="n"/>
      <c r="O49" s="24" t="n"/>
      <c r="P49" s="24" t="n"/>
      <c r="Q49" s="24" t="n"/>
      <c r="R49" s="24" t="n"/>
      <c r="S49" s="24" t="n"/>
      <c r="T49" s="24" t="n"/>
      <c r="U49" s="24" t="n"/>
      <c r="V49" s="24" t="n"/>
    </row>
    <row r="50">
      <c r="A50" s="24" t="inlineStr">
        <is>
          <t>Electronics</t>
        </is>
      </c>
      <c r="B50" s="24" t="inlineStr">
        <is>
          <t>VHB tape (20mm or so is good)</t>
        </is>
      </c>
      <c r="C50" s="24" t="n"/>
      <c r="D50" s="24" t="inlineStr">
        <is>
          <t>1</t>
        </is>
      </c>
      <c r="E50" s="24" t="inlineStr">
        <is>
          <t>All</t>
        </is>
      </c>
      <c r="F50" s="24" t="n"/>
      <c r="G50" s="24" t="n"/>
      <c r="H50" s="24" t="n"/>
      <c r="I50" s="24" t="n"/>
      <c r="J50" s="24" t="n"/>
      <c r="K50" s="24" t="n"/>
      <c r="L50" s="24" t="n"/>
      <c r="M50" s="24" t="n"/>
      <c r="N50" s="24" t="n"/>
      <c r="O50" s="24" t="n"/>
      <c r="P50" s="24" t="n"/>
      <c r="Q50" s="24" t="n"/>
      <c r="R50" s="24" t="n"/>
      <c r="S50" s="24" t="n"/>
      <c r="T50" s="24" t="n"/>
      <c r="U50" s="24" t="n"/>
      <c r="V50" s="28" t="inlineStr">
        <is>
          <t>all links were dead</t>
        </is>
      </c>
    </row>
    <row r="51">
      <c r="A51" s="40" t="inlineStr">
        <is>
          <t>Cables</t>
        </is>
      </c>
      <c r="B51" s="40" t="inlineStr">
        <is>
          <t>Insulated Crimp Receptical</t>
        </is>
      </c>
      <c r="C51" s="40" t="n"/>
      <c r="D51" s="40" t="inlineStr">
        <is>
          <t>4</t>
        </is>
      </c>
      <c r="E51" s="40" t="inlineStr">
        <is>
          <t>All</t>
        </is>
      </c>
      <c r="F51" s="41">
        <f>HYPERLINK("https://www.digikey.com/products/en","Digikey")</f>
        <v/>
      </c>
      <c r="G51" s="40" t="n"/>
      <c r="H51" s="43">
        <f>HYPERLINK("https://www.digikey.com/product-detail/en/te-connectivity-amp-connectors/2-520181-2/A27804TR-ND/289246","Digikey")</f>
        <v/>
      </c>
      <c r="I51" s="40" t="n"/>
      <c r="J51" s="40" t="n"/>
      <c r="K51" s="40" t="n"/>
      <c r="L51" s="40" t="n"/>
      <c r="M51" s="40" t="n"/>
      <c r="N51" s="40" t="n"/>
      <c r="O51" s="40" t="n"/>
      <c r="P51" s="40" t="n"/>
      <c r="Q51" s="40" t="n"/>
      <c r="R51" s="40" t="n"/>
      <c r="S51" s="40" t="n"/>
      <c r="T51" s="40" t="n"/>
      <c r="U51" s="42" t="inlineStr">
        <is>
          <t>for connecting to AC power inlet</t>
        </is>
      </c>
      <c r="V51" s="40" t="n"/>
    </row>
    <row r="52">
      <c r="A52" s="40" t="inlineStr">
        <is>
          <t>Cables</t>
        </is>
      </c>
      <c r="B52" s="40" t="inlineStr">
        <is>
          <t>PTFE Wire 20gauge 10ft</t>
        </is>
      </c>
      <c r="C52" s="40" t="n"/>
      <c r="D52" s="40" t="inlineStr">
        <is>
          <t>1</t>
        </is>
      </c>
      <c r="E52" s="40" t="inlineStr">
        <is>
          <t>All</t>
        </is>
      </c>
      <c r="F52" s="40" t="n"/>
      <c r="G52" s="40" t="n"/>
      <c r="H52" s="40" t="n"/>
      <c r="I52" s="40" t="n"/>
      <c r="J52" s="40" t="n"/>
      <c r="K52" s="40" t="n"/>
      <c r="L52" s="40" t="n"/>
      <c r="M52" s="40" t="n"/>
      <c r="N52" s="40" t="n"/>
      <c r="O52" s="40" t="n"/>
      <c r="P52" s="40" t="n"/>
      <c r="Q52" s="40" t="n"/>
      <c r="R52" s="40" t="n"/>
      <c r="S52" s="40" t="n"/>
      <c r="T52" s="40" t="n"/>
      <c r="U52" s="40" t="n"/>
      <c r="V52" s="44" t="inlineStr">
        <is>
          <t>all links were dead</t>
        </is>
      </c>
    </row>
    <row r="53">
      <c r="A53" s="40" t="inlineStr">
        <is>
          <t>Cables</t>
        </is>
      </c>
      <c r="B53" s="40" t="inlineStr">
        <is>
          <t>PTFE Wire 22gauge 100ft (get 5m of 6 colors for 30m total, tin plated)</t>
        </is>
      </c>
      <c r="C53" s="40" t="n"/>
      <c r="D53" s="40" t="inlineStr">
        <is>
          <t>1</t>
        </is>
      </c>
      <c r="E53" s="40" t="inlineStr">
        <is>
          <t>All</t>
        </is>
      </c>
      <c r="F53" s="40" t="n"/>
      <c r="G53" s="40" t="n"/>
      <c r="H53" s="40" t="n"/>
      <c r="I53" s="40" t="n"/>
      <c r="J53" s="40" t="n"/>
      <c r="K53" s="40" t="n"/>
      <c r="L53" s="40" t="n"/>
      <c r="M53" s="40" t="n"/>
      <c r="N53" s="40" t="n"/>
      <c r="O53" s="40" t="n"/>
      <c r="P53" s="40" t="n"/>
      <c r="Q53" s="40" t="n"/>
      <c r="R53" s="40" t="n"/>
      <c r="S53" s="40" t="n"/>
      <c r="T53" s="40" t="n"/>
      <c r="U53" s="40" t="n"/>
      <c r="V53" s="44" t="inlineStr">
        <is>
          <t>all links were dead</t>
        </is>
      </c>
    </row>
    <row r="54">
      <c r="A54" s="40" t="inlineStr">
        <is>
          <t>Cables</t>
        </is>
      </c>
      <c r="B54" s="40" t="inlineStr">
        <is>
          <t>Wire 18gauge 10ft (individual strand length total [example: 25ft of 4p wire=100ft])</t>
        </is>
      </c>
      <c r="C54" s="40" t="n"/>
      <c r="D54" s="40" t="inlineStr">
        <is>
          <t>1</t>
        </is>
      </c>
      <c r="E54" s="40" t="inlineStr">
        <is>
          <t>All</t>
        </is>
      </c>
      <c r="F54" s="41">
        <f>HYPERLINK("https://s.click.aliexpress.com/e/_ANOyiL","Aliexpress")</f>
        <v/>
      </c>
      <c r="G54" s="40" t="n"/>
      <c r="H54" s="40" t="n"/>
      <c r="I54" s="40" t="n"/>
      <c r="J54" s="40" t="n"/>
      <c r="K54" s="40" t="n"/>
      <c r="L54" s="40" t="n"/>
      <c r="M54" s="40" t="n"/>
      <c r="N54" s="40" t="n"/>
      <c r="O54" s="40" t="n"/>
      <c r="P54" s="40" t="n"/>
      <c r="Q54" s="40" t="n"/>
      <c r="R54" s="40" t="n"/>
      <c r="S54" s="40" t="n"/>
      <c r="T54" s="40" t="n"/>
      <c r="U54" s="42" t="inlineStr">
        <is>
          <t>this wire is for mains and can be of any type as longh as it is minimum 18 gauge</t>
        </is>
      </c>
      <c r="V54" s="40" t="n"/>
    </row>
    <row r="55">
      <c r="A55" s="40" t="inlineStr">
        <is>
          <t>Cables</t>
        </is>
      </c>
      <c r="B55" s="40" t="inlineStr">
        <is>
          <t>Thermal Fuse 125C</t>
        </is>
      </c>
      <c r="C55" s="40" t="n"/>
      <c r="D55" s="40" t="inlineStr">
        <is>
          <t>1</t>
        </is>
      </c>
      <c r="E55" s="40" t="inlineStr">
        <is>
          <t>All</t>
        </is>
      </c>
      <c r="F55" s="40" t="n"/>
      <c r="G55" s="40" t="n"/>
      <c r="H55" s="40" t="n"/>
      <c r="I55" s="40" t="n"/>
      <c r="J55" s="40" t="n"/>
      <c r="K55" s="40" t="n"/>
      <c r="L55" s="40" t="n"/>
      <c r="M55" s="40" t="n"/>
      <c r="N55" s="40" t="n"/>
      <c r="O55" s="40" t="n"/>
      <c r="P55" s="40" t="n"/>
      <c r="Q55" s="40" t="n"/>
      <c r="R55" s="40" t="n"/>
      <c r="S55" s="40" t="n"/>
      <c r="T55" s="40" t="n"/>
      <c r="U55" s="40" t="n"/>
      <c r="V55" s="44" t="inlineStr">
        <is>
          <t>all links were dead</t>
        </is>
      </c>
    </row>
    <row r="56">
      <c r="A56" s="40" t="inlineStr">
        <is>
          <t>Cables</t>
        </is>
      </c>
      <c r="B56" s="40" t="inlineStr">
        <is>
          <t>JST connectors (2pin,3pin,4pin,5pin)</t>
        </is>
      </c>
      <c r="C56" s="40" t="n"/>
      <c r="D56" s="40" t="inlineStr">
        <is>
          <t>1</t>
        </is>
      </c>
      <c r="E56" s="40" t="inlineStr">
        <is>
          <t>All</t>
        </is>
      </c>
      <c r="F56" s="41">
        <f>HYPERLINK("https://amzn.to/2W3RSl6","Amazon [Affiliate Link]")</f>
        <v/>
      </c>
      <c r="G56" s="40" t="n"/>
      <c r="H56" s="40" t="n"/>
      <c r="I56" s="40" t="n"/>
      <c r="J56" s="40" t="n"/>
      <c r="K56" s="40" t="n"/>
      <c r="L56" s="40" t="n"/>
      <c r="M56" s="40" t="n"/>
      <c r="N56" s="40" t="n"/>
      <c r="O56" s="40" t="n"/>
      <c r="P56" s="40" t="n"/>
      <c r="Q56" s="40" t="n"/>
      <c r="R56" s="40" t="n"/>
      <c r="S56" s="40" t="n"/>
      <c r="T56" s="40" t="n"/>
      <c r="U56" s="40" t="n"/>
      <c r="V56" s="40" t="n"/>
    </row>
    <row r="57">
      <c r="A57" s="40" t="inlineStr">
        <is>
          <t>Cables</t>
        </is>
      </c>
      <c r="B57" s="40" t="inlineStr">
        <is>
          <t>Microfit3 Male &amp; Female Plugs</t>
        </is>
      </c>
      <c r="C57" s="40" t="n"/>
      <c r="D57" s="40" t="inlineStr">
        <is>
          <t>1</t>
        </is>
      </c>
      <c r="E57" s="40" t="inlineStr">
        <is>
          <t>All</t>
        </is>
      </c>
      <c r="F57" s="41">
        <f>HYPERLINK("https://www.digikey.com/en/products/detail/molex/0766500159/2116044","Digikey")</f>
        <v/>
      </c>
      <c r="G57" s="40" t="n"/>
      <c r="H57" s="43">
        <f>HYPERLINK("https://www.arrow.com/en/products/76650-0159/molex","Arrow")</f>
        <v/>
      </c>
      <c r="I57" s="40" t="n"/>
      <c r="J57" s="40" t="n"/>
      <c r="K57" s="40" t="n"/>
      <c r="L57" s="40" t="n"/>
      <c r="M57" s="40" t="n"/>
      <c r="N57" s="40" t="n"/>
      <c r="O57" s="40" t="n"/>
      <c r="P57" s="40" t="n"/>
      <c r="Q57" s="40" t="n"/>
      <c r="R57" s="40" t="n"/>
      <c r="S57" s="40" t="n"/>
      <c r="T57" s="40" t="n"/>
      <c r="U57" s="42" t="inlineStr">
        <is>
          <t>full kit, you dont HAVE to use a single connector use as many or as few as you want</t>
        </is>
      </c>
      <c r="V57" s="40" t="n"/>
    </row>
    <row r="58">
      <c r="A58" s="40" t="inlineStr">
        <is>
          <t>Cables</t>
        </is>
      </c>
      <c r="B58" s="40" t="inlineStr">
        <is>
          <t>7mm x 7mm cable chain (less than 1/2 meter needed)</t>
        </is>
      </c>
      <c r="C58" s="40" t="n"/>
      <c r="D58" s="40" t="inlineStr">
        <is>
          <t>1</t>
        </is>
      </c>
      <c r="E58" s="40" t="inlineStr">
        <is>
          <t>All</t>
        </is>
      </c>
      <c r="F58" s="41">
        <f>HYPERLINK("https://amzn.to/2VIUE08","Amazon [Affiliate Link]")</f>
        <v/>
      </c>
      <c r="G58" s="40" t="n"/>
      <c r="H58" s="40" t="n"/>
      <c r="I58" s="40" t="n"/>
      <c r="J58" s="40" t="n"/>
      <c r="K58" s="40" t="n"/>
      <c r="L58" s="40" t="n"/>
      <c r="M58" s="40" t="n"/>
      <c r="N58" s="40" t="n"/>
      <c r="O58" s="40" t="n"/>
      <c r="P58" s="40" t="n"/>
      <c r="Q58" s="40" t="n"/>
      <c r="R58" s="40" t="n"/>
      <c r="S58" s="40" t="n"/>
      <c r="T58" s="40" t="n"/>
      <c r="U58" s="40" t="n"/>
      <c r="V58" s="40" t="n"/>
    </row>
    <row r="59">
      <c r="A59" s="40" t="inlineStr">
        <is>
          <t>Cables</t>
        </is>
      </c>
      <c r="B59" s="40" t="inlineStr">
        <is>
          <t>2mmx100mm zip ties</t>
        </is>
      </c>
      <c r="C59" s="40" t="n"/>
      <c r="D59" s="40" t="inlineStr">
        <is>
          <t>1</t>
        </is>
      </c>
      <c r="E59" s="40" t="inlineStr">
        <is>
          <t>All</t>
        </is>
      </c>
      <c r="F59" s="41">
        <f>HYPERLINK("https://s.click.aliexpress.com/e/_99um6r","Aliexpress")</f>
        <v/>
      </c>
      <c r="G59" s="40" t="n"/>
      <c r="H59" s="40" t="n"/>
      <c r="I59" s="40" t="n"/>
      <c r="J59" s="40" t="n"/>
      <c r="K59" s="40" t="n"/>
      <c r="L59" s="40" t="n"/>
      <c r="M59" s="40" t="n"/>
      <c r="N59" s="40" t="n"/>
      <c r="O59" s="40" t="n"/>
      <c r="P59" s="40" t="n"/>
      <c r="Q59" s="40" t="n"/>
      <c r="R59" s="40" t="n"/>
      <c r="S59" s="40" t="n"/>
      <c r="T59" s="40" t="n"/>
      <c r="U59" s="40" t="n"/>
      <c r="V59" s="40" t="n"/>
    </row>
    <row r="60">
      <c r="A60" s="14" t="inlineStr">
        <is>
          <t>Motion</t>
        </is>
      </c>
      <c r="B60" s="14" t="inlineStr">
        <is>
          <t>F623-RS Bearing</t>
        </is>
      </c>
      <c r="C60" s="14" t="n"/>
      <c r="D60" s="14" t="inlineStr">
        <is>
          <t>24</t>
        </is>
      </c>
      <c r="E60" s="14" t="inlineStr">
        <is>
          <t>All</t>
        </is>
      </c>
      <c r="F60" s="15">
        <f>HYPERLINK("https://s.click.aliexpress.com/e/_AOxtwP","Aliexpress")</f>
        <v/>
      </c>
      <c r="G60" s="14" t="n"/>
      <c r="H60" s="16">
        <f>HYPERLINK("https://s.click.aliexpress.com/e/_d6E3oIC","Aliexpress")</f>
        <v/>
      </c>
      <c r="I60" s="14" t="n"/>
      <c r="J60" s="14" t="n"/>
      <c r="K60" s="14" t="n"/>
      <c r="L60" s="14" t="n"/>
      <c r="M60" s="14" t="n"/>
      <c r="N60" s="14" t="n"/>
      <c r="O60" s="14" t="n"/>
      <c r="P60" s="14" t="n"/>
      <c r="Q60" s="14" t="n"/>
      <c r="R60" s="14" t="n"/>
      <c r="S60" s="14" t="n"/>
      <c r="T60" s="14" t="n"/>
      <c r="U60" s="14" t="n"/>
      <c r="V60" s="14" t="n"/>
    </row>
    <row r="61">
      <c r="A61" s="14" t="inlineStr">
        <is>
          <t>Motion</t>
        </is>
      </c>
      <c r="B61" s="14" t="inlineStr">
        <is>
          <t>MGN7H Linear Rail with Carriage (150mm)</t>
        </is>
      </c>
      <c r="C61" s="14" t="n"/>
      <c r="D61" s="14" t="inlineStr">
        <is>
          <t>5</t>
        </is>
      </c>
      <c r="E61" s="14" t="inlineStr">
        <is>
          <t>All</t>
        </is>
      </c>
      <c r="F61" s="15">
        <f>HYPERLINK("https://www.aliexpress.com/item/32880801484.html","CNA Mechanical")</f>
        <v/>
      </c>
      <c r="G61" s="14" t="n"/>
      <c r="H61" s="14" t="n"/>
      <c r="I61" s="14" t="n"/>
      <c r="J61" s="14" t="n"/>
      <c r="K61" s="14" t="n"/>
      <c r="L61" s="14" t="n"/>
      <c r="M61" s="14" t="n"/>
      <c r="N61" s="14" t="n"/>
      <c r="O61" s="14" t="n"/>
      <c r="P61" s="14" t="n"/>
      <c r="Q61" s="14" t="n"/>
      <c r="R61" s="14" t="n"/>
      <c r="S61" s="14" t="n"/>
      <c r="T61" s="14" t="n"/>
      <c r="U61" s="17" t="inlineStr">
        <is>
          <t>CNA medium Load</t>
        </is>
      </c>
      <c r="V61" s="18" t="inlineStr">
        <is>
          <t>some links were dead</t>
        </is>
      </c>
    </row>
    <row r="62">
      <c r="A62" s="14" t="inlineStr">
        <is>
          <t>Motion</t>
        </is>
      </c>
      <c r="B62" s="14" t="inlineStr">
        <is>
          <t>GT2 20T (6mm wide) Pulley (5mm bore)</t>
        </is>
      </c>
      <c r="C62" s="14" t="n"/>
      <c r="D62" s="14" t="inlineStr">
        <is>
          <t>2</t>
        </is>
      </c>
      <c r="E62" s="14" t="inlineStr">
        <is>
          <t>All</t>
        </is>
      </c>
      <c r="F62" s="15">
        <f>HYPERLINK("https://www.aliexpress.com/item/32226562320.html","POWGE")</f>
        <v/>
      </c>
      <c r="G62" s="16">
        <f>HYPERLINK("https://s.click.aliexpress.com/e/E1Y0mkUu","[Affiliate Link]")</f>
        <v/>
      </c>
      <c r="H62" s="16">
        <f>HYPERLINK("https://s.click.aliexpress.com/e/_AqN4lx","Aliexpress")</f>
        <v/>
      </c>
      <c r="I62" s="14" t="n"/>
      <c r="J62" s="16">
        <f>HYPERLINK("https://s.click.aliexpress.com/e/E1Y0mkUu","AliExpress")</f>
        <v/>
      </c>
      <c r="K62" s="16">
        <f>HYPERLINK("https://s.click.aliexpress.com/e/_dYtoM9A","Aliexpress")</f>
        <v/>
      </c>
      <c r="L62" s="14" t="n"/>
      <c r="M62" s="14" t="n"/>
      <c r="N62" s="14" t="n"/>
      <c r="O62" s="14" t="n"/>
      <c r="P62" s="14" t="n"/>
      <c r="Q62" s="14" t="n"/>
      <c r="R62" s="14" t="n"/>
      <c r="S62" s="14" t="n"/>
      <c r="T62" s="14" t="n"/>
      <c r="U62" s="14" t="n"/>
      <c r="V62" s="14" t="n"/>
    </row>
    <row r="63">
      <c r="A63" s="14" t="inlineStr">
        <is>
          <t>Motion</t>
        </is>
      </c>
      <c r="B63" s="14" t="inlineStr">
        <is>
          <t>GT2 Open Belt 6mm (3 meters)</t>
        </is>
      </c>
      <c r="C63" s="14" t="n"/>
      <c r="D63" s="14" t="inlineStr">
        <is>
          <t>1</t>
        </is>
      </c>
      <c r="E63" s="14" t="inlineStr">
        <is>
          <t>All</t>
        </is>
      </c>
      <c r="F63" s="15">
        <f>HYPERLINK("https://s.click.aliexpress.com/e/_AWdYSR","Aliexpress")</f>
        <v/>
      </c>
      <c r="G63" s="14" t="n"/>
      <c r="H63" s="16">
        <f>HYPERLINK("https://s.click.aliexpress.com/e/_dZ6ZPZ2","Aliexpress")</f>
        <v/>
      </c>
      <c r="I63" s="14" t="n"/>
      <c r="J63" s="14" t="n"/>
      <c r="K63" s="14" t="n"/>
      <c r="L63" s="14" t="n"/>
      <c r="M63" s="14" t="n"/>
      <c r="N63" s="14" t="n"/>
      <c r="O63" s="14" t="n"/>
      <c r="P63" s="14" t="n"/>
      <c r="Q63" s="14" t="n"/>
      <c r="R63" s="14" t="n"/>
      <c r="S63" s="14" t="n"/>
      <c r="T63" s="14" t="n"/>
      <c r="U63" s="14" t="n"/>
      <c r="V63" s="14" t="n"/>
    </row>
    <row r="64">
      <c r="A64" s="14" t="inlineStr">
        <is>
          <t>Motion</t>
        </is>
      </c>
      <c r="B64" s="14" t="inlineStr">
        <is>
          <t>T8 flange Nut 8mm Lead --anti-backlash prefered-- (SEE NOTE SECTION)</t>
        </is>
      </c>
      <c r="C64" s="14" t="n"/>
      <c r="D64" s="14" t="inlineStr">
        <is>
          <t>1</t>
        </is>
      </c>
      <c r="E64" s="14" t="inlineStr">
        <is>
          <t>All</t>
        </is>
      </c>
      <c r="F64" s="15">
        <f>HYPERLINK("https://www.amazon.com/dp/B088FPNVVF","Amazon")</f>
        <v/>
      </c>
      <c r="G64" s="14" t="n"/>
      <c r="H64" s="16">
        <f>HYPERLINK("https://s.click.aliexpress.com/e/_dSL2ALg","Aliexpress")</f>
        <v/>
      </c>
      <c r="I64" s="14" t="n"/>
      <c r="J64" s="14" t="n"/>
      <c r="K64" s="14" t="n"/>
      <c r="L64" s="14" t="n"/>
      <c r="M64" s="14" t="n"/>
      <c r="N64" s="14" t="n"/>
      <c r="O64" s="14" t="n"/>
      <c r="P64" s="14" t="n"/>
      <c r="Q64" s="14" t="n"/>
      <c r="R64" s="14" t="n"/>
      <c r="S64" s="14" t="n"/>
      <c r="T64" s="14" t="n"/>
      <c r="U64" s="17" t="inlineStr">
        <is>
          <t>anti-backlash nuts commonly come in two sizes 18mm hole spacing with a 24mmOD or a 16mm hole spacing with 22mmOD, the later will require you to add a flat to one side by hand. either option will work just make sure you print the part that matched your nut. there is a tool in the STL file to help with adding the flats to a full round nut.</t>
        </is>
      </c>
      <c r="V64" s="18" t="inlineStr">
        <is>
          <t>some links were dead</t>
        </is>
      </c>
    </row>
    <row r="65">
      <c r="A65" s="48" t="inlineStr">
        <is>
          <t>Buildplate</t>
        </is>
      </c>
      <c r="B65" s="48" t="inlineStr">
        <is>
          <t>Aluminum Build Plate (MIC6/ATP-5/Jig Plate/etc) 120x120mm (4.75inx4.75in) (1/4in or 6mm depending on whats available in your country)</t>
        </is>
      </c>
      <c r="C65" s="48" t="n"/>
      <c r="D65" s="48" t="inlineStr">
        <is>
          <t>1</t>
        </is>
      </c>
      <c r="E65" s="48" t="inlineStr">
        <is>
          <t>All</t>
        </is>
      </c>
      <c r="F65" s="49">
        <f>HYPERLINK("https://clever3d.de/epages/7a4290fc-7c7f-46cc-9b99-eadef22228e2.sf/en_US?ObjectPath=%2FShops%2F7a4290fc-7c7f-46cc-9b99-eadef22228e2%2FProducts%2FAluGuss8mm","Clever3D.de")</f>
        <v/>
      </c>
      <c r="G65" s="48" t="n"/>
      <c r="H65" s="48" t="inlineStr">
        <is>
          <t>Local material supplier</t>
        </is>
      </c>
      <c r="I65" s="48" t="n"/>
      <c r="J65" s="48" t="n"/>
      <c r="K65" s="48" t="n"/>
      <c r="L65" s="48" t="n"/>
      <c r="M65" s="48" t="n"/>
      <c r="N65" s="48" t="n"/>
      <c r="O65" s="48" t="n"/>
      <c r="P65" s="48" t="n"/>
      <c r="Q65" s="48" t="n"/>
      <c r="R65" s="48" t="n"/>
      <c r="S65" s="48" t="n"/>
      <c r="T65" s="48" t="n"/>
      <c r="U65" s="50" t="inlineStr">
        <is>
          <t>Thicker material is fine too, just keep in mind your heat up times will greatly increase and youll lose z heght for however much thicker you go</t>
        </is>
      </c>
      <c r="V65" s="48" t="n"/>
    </row>
    <row r="66">
      <c r="A66" s="48" t="inlineStr">
        <is>
          <t>Buildplate</t>
        </is>
      </c>
      <c r="B66" s="48" t="inlineStr">
        <is>
          <t>Silicone DC 24V Heater 100x100mm 60W</t>
        </is>
      </c>
      <c r="C66" s="48" t="n"/>
      <c r="D66" s="48" t="inlineStr">
        <is>
          <t>1</t>
        </is>
      </c>
      <c r="E66" s="48" t="inlineStr">
        <is>
          <t>All</t>
        </is>
      </c>
      <c r="F66" s="49">
        <f>HYPERLINK("https://keenovo.store/collections/standard-keenovo-silicone-heaters/products/keenovo-square-silicone-heater-3d-printer-build-plate-heatbed-heating-pad?variant=33194097803404","Keenovo")</f>
        <v/>
      </c>
      <c r="G66" s="48" t="n"/>
      <c r="H66" s="48" t="n"/>
      <c r="I66" s="48" t="n"/>
      <c r="J66" s="48" t="n"/>
      <c r="K66" s="48" t="n"/>
      <c r="L66" s="48" t="n"/>
      <c r="M66" s="48" t="n"/>
      <c r="N66" s="48" t="n"/>
      <c r="O66" s="48" t="n"/>
      <c r="P66" s="48" t="n"/>
      <c r="Q66" s="48" t="n"/>
      <c r="R66" s="48" t="n"/>
      <c r="S66" s="48" t="n"/>
      <c r="T66" s="48" t="n"/>
      <c r="U66" s="48" t="n"/>
      <c r="V66" s="48" t="n"/>
    </row>
    <row r="67">
      <c r="A67" s="48" t="inlineStr">
        <is>
          <t>Buildplate</t>
        </is>
      </c>
      <c r="B67" s="48" t="inlineStr">
        <is>
          <t>PEI + 3M 468P (200MP)</t>
        </is>
      </c>
      <c r="C67" s="48" t="n"/>
      <c r="D67" s="48" t="inlineStr">
        <is>
          <t>1</t>
        </is>
      </c>
      <c r="E67" s="48" t="inlineStr">
        <is>
          <t>All</t>
        </is>
      </c>
      <c r="F67" s="49">
        <f>HYPERLINK("https://catalog.cshyde.com/item/pei-ultem/int-surface-10-mil-ultem-pei-w-3m-acrylic-adhesive/36-10a-3d-9-84-12-40","CSHyde (Trim)")</f>
        <v/>
      </c>
      <c r="G67" s="48" t="n"/>
      <c r="H67" s="51">
        <f>HYPERLINK("https://catalog.cshyde.com/item/pei-ultem/int-surface-10-mil-ultem-pei-w-3m-acrylic-adhesive/36-10a-3d-12x12","CSHyde")</f>
        <v/>
      </c>
      <c r="I67" s="48" t="n"/>
      <c r="J67" s="51">
        <f>HYPERLINK("https://catalog.cshyde.com/item/pei-sheet-3d-printing-build-surface/10-mil-ultem-pei-w-3m-acrylic-adhesive/36-10a-3d-4-7x4-7","CS Hyde")</f>
        <v/>
      </c>
      <c r="K67" s="51">
        <f>HYPERLINK("https://catalog.cshyde.com/item/pei-ultem/int-surface-10-mil-ultem-pei-w-3m-acrylic-adhesive/36-10a-3d-14x14","CSHyde")</f>
        <v/>
      </c>
      <c r="L67" s="48" t="n"/>
      <c r="M67" s="48" t="n"/>
      <c r="N67" s="48" t="n"/>
      <c r="O67" s="48" t="n"/>
      <c r="P67" s="48" t="n"/>
      <c r="Q67" s="48" t="n"/>
      <c r="R67" s="48" t="n"/>
      <c r="S67" s="48" t="n"/>
      <c r="T67" s="48" t="n"/>
      <c r="U67" s="50" t="inlineStr">
        <is>
          <t>if you go with the flex plate you dont need extra PEI</t>
        </is>
      </c>
      <c r="V67" s="52" t="inlineStr">
        <is>
          <t>some links were dead</t>
        </is>
      </c>
    </row>
    <row r="68">
      <c r="A68" s="48" t="inlineStr">
        <is>
          <t>Buildplate</t>
        </is>
      </c>
      <c r="B68" s="48" t="inlineStr">
        <is>
          <t>yellow die springs 8x4x20mm</t>
        </is>
      </c>
      <c r="C68" s="48" t="n"/>
      <c r="D68" s="48" t="inlineStr">
        <is>
          <t>3</t>
        </is>
      </c>
      <c r="E68" s="48" t="inlineStr">
        <is>
          <t>All</t>
        </is>
      </c>
      <c r="F68" s="49">
        <f>HYPERLINK("https://s.click.aliexpress.com/e/_dUTJIFD","Aliexpress")</f>
        <v/>
      </c>
      <c r="G68" s="48" t="n"/>
      <c r="H68" s="51">
        <f>HYPERLINK("https://amzn.to/2KGsHzJ","Amazon [Affilaite Link]")</f>
        <v/>
      </c>
      <c r="I68" s="48" t="n"/>
      <c r="J68" s="48" t="n"/>
      <c r="K68" s="48" t="n"/>
      <c r="L68" s="48" t="n"/>
      <c r="M68" s="48" t="n"/>
      <c r="N68" s="48" t="n"/>
      <c r="O68" s="48" t="n"/>
      <c r="P68" s="48" t="n"/>
      <c r="Q68" s="48" t="n"/>
      <c r="R68" s="48" t="n"/>
      <c r="S68" s="48" t="n"/>
      <c r="T68" s="48" t="n"/>
      <c r="U68" s="48" t="n"/>
      <c r="V68" s="48" t="n"/>
    </row>
    <row r="69">
      <c r="A69" s="48" t="inlineStr">
        <is>
          <t>Buildplate</t>
        </is>
      </c>
      <c r="B69" s="48" t="inlineStr">
        <is>
          <t>Spring Steel Flex Buildplate 120x120mm (OPTIONAL)</t>
        </is>
      </c>
      <c r="C69" s="48" t="n"/>
      <c r="D69" s="48" t="inlineStr">
        <is>
          <t>1</t>
        </is>
      </c>
      <c r="E69" s="48" t="inlineStr">
        <is>
          <t>All</t>
        </is>
      </c>
      <c r="F69" s="49">
        <f>HYPERLINK("https://s.click.aliexpress.com/e/_dXbCEmC","Aliexpress")</f>
        <v/>
      </c>
      <c r="G69" s="48" t="n"/>
      <c r="H69" s="48" t="n"/>
      <c r="I69" s="48" t="n"/>
      <c r="J69" s="48" t="n"/>
      <c r="K69" s="48" t="n"/>
      <c r="L69" s="48" t="n"/>
      <c r="M69" s="48" t="n"/>
      <c r="N69" s="48" t="n"/>
      <c r="O69" s="48" t="n"/>
      <c r="P69" s="48" t="n"/>
      <c r="Q69" s="48" t="n"/>
      <c r="R69" s="48" t="n"/>
      <c r="S69" s="48" t="n"/>
      <c r="T69" s="48" t="n"/>
      <c r="U69" s="50" t="inlineStr">
        <is>
          <t>pick texture option for texture plate with smooth on opposite side, smooth option is smooth on both sides, "base" refers to the magnet which is not very good, better to buy a stronger 3rd party one</t>
        </is>
      </c>
      <c r="V69" s="48" t="n"/>
    </row>
    <row r="70">
      <c r="A70" s="48" t="inlineStr">
        <is>
          <t>Buildplate</t>
        </is>
      </c>
      <c r="B70" s="48" t="inlineStr">
        <is>
          <t>Magnetic sheet for spring steel plate 120x120 (OPTIONAL)</t>
        </is>
      </c>
      <c r="C70" s="48" t="n"/>
      <c r="D70" s="48" t="inlineStr">
        <is>
          <t>1</t>
        </is>
      </c>
      <c r="E70" s="48" t="inlineStr">
        <is>
          <t>All</t>
        </is>
      </c>
      <c r="F70" s="49">
        <f>HYPERLINK("https://www.mcmaster.com/7301T21/","Mcmaster Carr")</f>
        <v/>
      </c>
      <c r="G70" s="48" t="n"/>
      <c r="H70" s="48" t="n"/>
      <c r="I70" s="48" t="n"/>
      <c r="J70" s="48" t="n"/>
      <c r="K70" s="48" t="n"/>
      <c r="L70" s="48" t="n"/>
      <c r="M70" s="48" t="n"/>
      <c r="N70" s="48" t="n"/>
      <c r="O70" s="48" t="n"/>
      <c r="P70" s="48" t="n"/>
      <c r="Q70" s="48" t="n"/>
      <c r="R70" s="48" t="n"/>
      <c r="S70" s="48" t="n"/>
      <c r="T70" s="48" t="n"/>
      <c r="U70" s="48" t="n"/>
      <c r="V70" s="48" t="n"/>
    </row>
    <row r="71">
      <c r="A71" s="45" t="inlineStr">
        <is>
          <t>Panels</t>
        </is>
      </c>
      <c r="B71" s="45" t="inlineStr">
        <is>
          <t>Side Panel 212mm x 230mm x 2.5mm (PC or Acrylic)</t>
        </is>
      </c>
      <c r="C71" s="45" t="n"/>
      <c r="D71" s="45" t="inlineStr">
        <is>
          <t>2</t>
        </is>
      </c>
      <c r="E71" s="45" t="inlineStr">
        <is>
          <t>All</t>
        </is>
      </c>
      <c r="F71" s="46">
        <f>HYPERLINK("https://www.tapplastics.com/product/plastics/cut_to_size_plastic/polycarbonate_sheets/516","TAP Plastic")</f>
        <v/>
      </c>
      <c r="G71" s="45" t="n"/>
      <c r="H71" s="45" t="inlineStr">
        <is>
          <t>cut by hand per Drawings</t>
        </is>
      </c>
      <c r="I71" s="45" t="n"/>
      <c r="J71" s="45" t="n"/>
      <c r="K71" s="45" t="n"/>
      <c r="L71" s="45" t="n"/>
      <c r="M71" s="45" t="n"/>
      <c r="N71" s="45" t="n"/>
      <c r="O71" s="45" t="n"/>
      <c r="P71" s="45" t="n"/>
      <c r="Q71" s="45" t="n"/>
      <c r="R71" s="45" t="n"/>
      <c r="S71" s="45" t="n"/>
      <c r="T71" s="45" t="n"/>
      <c r="U71" s="54" t="inlineStr">
        <is>
          <t>print panel clips that match your panel thickness, if you are in between print the smaller size</t>
        </is>
      </c>
      <c r="V71" s="45" t="n"/>
    </row>
    <row r="72">
      <c r="A72" s="45" t="inlineStr">
        <is>
          <t>Panels</t>
        </is>
      </c>
      <c r="B72" s="45" t="inlineStr">
        <is>
          <t>Front Door 212mm x 239mm x 2.5mm (PC or Acrylic)</t>
        </is>
      </c>
      <c r="C72" s="45" t="n"/>
      <c r="D72" s="45" t="inlineStr">
        <is>
          <t>1</t>
        </is>
      </c>
      <c r="E72" s="45" t="inlineStr">
        <is>
          <t>All</t>
        </is>
      </c>
      <c r="F72" s="46">
        <f>HYPERLINK("https://www.tapplastics.com/product/plastics/cut_to_size_plastic/polycarbonate_sheets/516","TAP Plastic")</f>
        <v/>
      </c>
      <c r="G72" s="45" t="n"/>
      <c r="H72" s="45" t="inlineStr">
        <is>
          <t>cut by hand per Drawings</t>
        </is>
      </c>
      <c r="I72" s="45" t="n"/>
      <c r="J72" s="45" t="n"/>
      <c r="K72" s="45" t="n"/>
      <c r="L72" s="45" t="n"/>
      <c r="M72" s="45" t="n"/>
      <c r="N72" s="45" t="n"/>
      <c r="O72" s="45" t="n"/>
      <c r="P72" s="45" t="n"/>
      <c r="Q72" s="45" t="n"/>
      <c r="R72" s="45" t="n"/>
      <c r="S72" s="45" t="n"/>
      <c r="T72" s="45" t="n"/>
      <c r="U72" s="45" t="n"/>
      <c r="V72" s="45" t="n"/>
    </row>
    <row r="73">
      <c r="A73" s="45" t="inlineStr">
        <is>
          <t>Panels</t>
        </is>
      </c>
      <c r="B73" s="45" t="inlineStr">
        <is>
          <t>Rear Panel 212mm x 248mm (whatever material you want)</t>
        </is>
      </c>
      <c r="C73" s="45" t="n"/>
      <c r="D73" s="45" t="inlineStr">
        <is>
          <t>1</t>
        </is>
      </c>
      <c r="E73" s="45" t="inlineStr">
        <is>
          <t>All</t>
        </is>
      </c>
      <c r="F73" s="46">
        <f>HYPERLINK("https://www.tapplastics.com/product/plastics/cut_to_size_plastic/polycarbonate_sheets/516","TAP Plastic")</f>
        <v/>
      </c>
      <c r="G73" s="45" t="n"/>
      <c r="H73" s="45" t="inlineStr">
        <is>
          <t>cut by hand per Drawings</t>
        </is>
      </c>
      <c r="I73" s="45" t="n"/>
      <c r="J73" s="45" t="n"/>
      <c r="K73" s="45" t="n"/>
      <c r="L73" s="45" t="n"/>
      <c r="M73" s="45" t="n"/>
      <c r="N73" s="45" t="n"/>
      <c r="O73" s="45" t="n"/>
      <c r="P73" s="45" t="n"/>
      <c r="Q73" s="45" t="n"/>
      <c r="R73" s="45" t="n"/>
      <c r="S73" s="45" t="n"/>
      <c r="T73" s="45" t="n"/>
      <c r="U73" s="45" t="n"/>
      <c r="V73" s="45" t="n"/>
    </row>
    <row r="74">
      <c r="A74" s="45" t="inlineStr">
        <is>
          <t>Panels</t>
        </is>
      </c>
      <c r="B74" s="45" t="inlineStr">
        <is>
          <t>(Deck Panel, Mid panel, Motor Panel, Rear Panel) 3mm thick</t>
        </is>
      </c>
      <c r="C74" s="45" t="n"/>
      <c r="D74" s="45" t="inlineStr">
        <is>
          <t>1</t>
        </is>
      </c>
      <c r="E74" s="45" t="inlineStr">
        <is>
          <t>All</t>
        </is>
      </c>
      <c r="F74" s="46">
        <f>HYPERLINK("https://mnlasercutting.com/","MN Laser Cutting")</f>
        <v/>
      </c>
      <c r="G74" s="45" t="n"/>
      <c r="H74" s="45" t="inlineStr">
        <is>
          <t>cut by hand per Drawings</t>
        </is>
      </c>
      <c r="I74" s="45" t="n"/>
      <c r="J74" s="45" t="n"/>
      <c r="K74" s="45" t="n"/>
      <c r="L74" s="45" t="n"/>
      <c r="M74" s="45" t="n"/>
      <c r="N74" s="45" t="n"/>
      <c r="O74" s="45" t="n"/>
      <c r="P74" s="45" t="n"/>
      <c r="Q74" s="45" t="n"/>
      <c r="R74" s="45" t="n"/>
      <c r="S74" s="45" t="n"/>
      <c r="T74" s="45" t="n"/>
      <c r="U74" s="54" t="inlineStr">
        <is>
          <t>pretty much any reasonable plastic as long as its 3mm thick. (ABS is a cheap common option) you can even print them if you want</t>
        </is>
      </c>
      <c r="V74" s="45" t="n"/>
    </row>
    <row r="75">
      <c r="A75" s="45" t="inlineStr">
        <is>
          <t>Panels</t>
        </is>
      </c>
      <c r="B75" s="45" t="inlineStr">
        <is>
          <t>TopHat Panels</t>
        </is>
      </c>
      <c r="C75" s="45" t="n"/>
      <c r="D75" s="45" t="inlineStr">
        <is>
          <t>1</t>
        </is>
      </c>
      <c r="E75" s="45" t="inlineStr">
        <is>
          <t>All</t>
        </is>
      </c>
      <c r="F75" s="46">
        <f>HYPERLINK("https://mnlasercutting.com/shop/p/voron-0-laser-cut-tophat-panels","MN Laser Cutting")</f>
        <v/>
      </c>
      <c r="G75" s="45" t="n"/>
      <c r="H75" s="45" t="inlineStr">
        <is>
          <t>cut by hand per Drawings</t>
        </is>
      </c>
      <c r="I75" s="45" t="n"/>
      <c r="J75" s="45" t="n"/>
      <c r="K75" s="45" t="n"/>
      <c r="L75" s="45" t="n"/>
      <c r="M75" s="45" t="n"/>
      <c r="N75" s="45" t="n"/>
      <c r="O75" s="45" t="n"/>
      <c r="P75" s="45" t="n"/>
      <c r="Q75" s="45" t="n"/>
      <c r="R75" s="45" t="n"/>
      <c r="S75" s="45" t="n"/>
      <c r="T75" s="45" t="n"/>
      <c r="U75" s="45" t="n"/>
      <c r="V75" s="45" t="n"/>
    </row>
    <row r="76">
      <c r="A76" s="56" t="inlineStr">
        <is>
          <t>Bowden</t>
        </is>
      </c>
      <c r="B76" s="56" t="inlineStr">
        <is>
          <t>Bowden Fitting</t>
        </is>
      </c>
      <c r="C76" s="56" t="n"/>
      <c r="D76" s="56" t="inlineStr">
        <is>
          <t>2</t>
        </is>
      </c>
      <c r="E76" s="56" t="inlineStr">
        <is>
          <t>All</t>
        </is>
      </c>
      <c r="F76" s="57">
        <f>HYPERLINK("https://s.click.aliexpress.com/e/_dZNWAU4","TriangleLab")</f>
        <v/>
      </c>
      <c r="G76" s="56" t="n"/>
      <c r="H76" s="58">
        <f>HYPERLINK("https://www.aliexpress.com/item/32934148155.html","TriangleLab")</f>
        <v/>
      </c>
      <c r="I76" s="58">
        <f>HYPERLINK("https://s.click.aliexpress.com/e/klIuTlpI","[Affiliate Link]")</f>
        <v/>
      </c>
      <c r="J76" s="56" t="n"/>
      <c r="K76" s="56" t="n"/>
      <c r="L76" s="56" t="n"/>
      <c r="M76" s="56" t="n"/>
      <c r="N76" s="56" t="n"/>
      <c r="O76" s="56" t="n"/>
      <c r="P76" s="56" t="n"/>
      <c r="Q76" s="56" t="n"/>
      <c r="R76" s="56" t="n"/>
      <c r="S76" s="56" t="n"/>
      <c r="T76" s="56" t="n"/>
      <c r="U76" s="59" t="inlineStr">
        <is>
          <t>bowden only, one for the hotend one for the Pocketwatch</t>
        </is>
      </c>
      <c r="V76" s="56" t="n"/>
    </row>
    <row r="77">
      <c r="A77" s="56" t="inlineStr">
        <is>
          <t>Bowden</t>
        </is>
      </c>
      <c r="B77" s="56" t="inlineStr">
        <is>
          <t>Bowden Tubing 4mmOD 2mmID (1 meter)</t>
        </is>
      </c>
      <c r="C77" s="56" t="n"/>
      <c r="D77" s="56" t="inlineStr">
        <is>
          <t>1</t>
        </is>
      </c>
      <c r="E77" s="56" t="inlineStr">
        <is>
          <t>All</t>
        </is>
      </c>
      <c r="F77" s="57">
        <f>HYPERLINK("https://s.click.aliexpress.com/e/_dY9tW7w","Aliexpress")</f>
        <v/>
      </c>
      <c r="G77" s="56" t="n"/>
      <c r="H77" s="58">
        <f>HYPERLINK("https://s.click.aliexpress.com/e/_DlmJrQ7","Aliexpress (4mmx3mm)")</f>
        <v/>
      </c>
      <c r="I77" s="56" t="n"/>
      <c r="J77" s="56" t="n"/>
      <c r="K77" s="56" t="n"/>
      <c r="L77" s="56" t="n"/>
      <c r="M77" s="56" t="n"/>
      <c r="N77" s="56" t="n"/>
      <c r="O77" s="56" t="n"/>
      <c r="P77" s="56" t="n"/>
      <c r="Q77" s="56" t="n"/>
      <c r="R77" s="56" t="n"/>
      <c r="S77" s="56" t="n"/>
      <c r="T77" s="56" t="n"/>
      <c r="U77" s="59" t="inlineStr">
        <is>
          <t>if you are going direct drive using 4mmODx3mmID ptfe tubing can reduce drag on the filament, if you are going bowden use 2mm ID tubing</t>
        </is>
      </c>
      <c r="V77" s="56" t="n"/>
    </row>
    <row r="78">
      <c r="A78" s="35" t="inlineStr">
        <is>
          <t>Misc</t>
        </is>
      </c>
      <c r="B78" s="35" t="inlineStr">
        <is>
          <t>Little Rubber Feet (14x11x9mm)</t>
        </is>
      </c>
      <c r="C78" s="35" t="n"/>
      <c r="D78" s="35" t="inlineStr">
        <is>
          <t>4</t>
        </is>
      </c>
      <c r="E78" s="35" t="inlineStr">
        <is>
          <t>All</t>
        </is>
      </c>
      <c r="F78" s="36">
        <f>HYPERLINK("https://s.click.aliexpress.com/e/_A8ySFU","Aliexpress")</f>
        <v/>
      </c>
      <c r="G78" s="35" t="n"/>
      <c r="H78" s="35" t="n"/>
      <c r="I78" s="35" t="n"/>
      <c r="J78" s="35" t="n"/>
      <c r="K78" s="35" t="n"/>
      <c r="L78" s="35" t="n"/>
      <c r="M78" s="35" t="n"/>
      <c r="N78" s="35" t="n"/>
      <c r="O78" s="35" t="n"/>
      <c r="P78" s="35" t="n"/>
      <c r="Q78" s="35" t="n"/>
      <c r="R78" s="35" t="n"/>
      <c r="S78" s="35" t="n"/>
      <c r="T78" s="35" t="n"/>
      <c r="U78" s="35" t="n"/>
      <c r="V78" s="35" t="n"/>
    </row>
    <row r="79">
      <c r="A79" s="35" t="inlineStr">
        <is>
          <t>Misc</t>
        </is>
      </c>
      <c r="B79" s="35" t="inlineStr">
        <is>
          <t>6mm x 3mm Round Neodymium Magnets</t>
        </is>
      </c>
      <c r="C79" s="35" t="n"/>
      <c r="D79" s="35" t="inlineStr">
        <is>
          <t>8</t>
        </is>
      </c>
      <c r="E79" s="35" t="inlineStr">
        <is>
          <t>All</t>
        </is>
      </c>
      <c r="F79" s="35" t="n"/>
      <c r="G79" s="35" t="n"/>
      <c r="H79" s="35" t="n"/>
      <c r="I79" s="35" t="n"/>
      <c r="J79" s="35" t="n"/>
      <c r="K79" s="35" t="n"/>
      <c r="L79" s="35" t="n"/>
      <c r="M79" s="35" t="n"/>
      <c r="N79" s="35" t="n"/>
      <c r="O79" s="35" t="n"/>
      <c r="P79" s="35" t="n"/>
      <c r="Q79" s="35" t="n"/>
      <c r="R79" s="35" t="n"/>
      <c r="S79" s="35" t="n"/>
      <c r="T79" s="35" t="n"/>
      <c r="U79" s="35" t="n"/>
      <c r="V79" s="38" t="inlineStr">
        <is>
          <t>all links were dead</t>
        </is>
      </c>
    </row>
    <row r="80">
      <c r="A80" s="35" t="inlineStr">
        <is>
          <t>Misc</t>
        </is>
      </c>
      <c r="B80" s="35" t="inlineStr">
        <is>
          <t>Metal X Carriage (OPTIONAL)</t>
        </is>
      </c>
      <c r="C80" s="35" t="n"/>
      <c r="D80" s="35" t="inlineStr">
        <is>
          <t>1</t>
        </is>
      </c>
      <c r="E80" s="35" t="inlineStr">
        <is>
          <t>All</t>
        </is>
      </c>
      <c r="F80" s="35" t="n"/>
      <c r="G80" s="35" t="n"/>
      <c r="H80" s="35" t="n"/>
      <c r="I80" s="35" t="n"/>
      <c r="J80" s="35" t="n"/>
      <c r="K80" s="35" t="n"/>
      <c r="L80" s="35" t="n"/>
      <c r="M80" s="35" t="n"/>
      <c r="N80" s="35" t="n"/>
      <c r="O80" s="35" t="n"/>
      <c r="P80" s="35" t="n"/>
      <c r="Q80" s="35" t="n"/>
      <c r="R80" s="35" t="n"/>
      <c r="S80" s="35" t="n"/>
      <c r="T80" s="35" t="n"/>
      <c r="U80" s="37" t="inlineStr">
        <is>
          <t>yes its a bit expensive but this part is the single best bang for buck upgrade mod, dont waste money on other metal parts besides this one.</t>
        </is>
      </c>
      <c r="V80" s="38" t="inlineStr">
        <is>
          <t>all links were dead</t>
        </is>
      </c>
    </row>
    <row r="81">
      <c r="A81" s="35" t="inlineStr">
        <is>
          <t>Misc</t>
        </is>
      </c>
      <c r="B81" s="35" t="inlineStr">
        <is>
          <t>3m 5952 VHB</t>
        </is>
      </c>
      <c r="C81" s="35" t="n"/>
      <c r="D81" s="35" t="inlineStr">
        <is>
          <t>1</t>
        </is>
      </c>
      <c r="E81" s="35" t="inlineStr">
        <is>
          <t>All</t>
        </is>
      </c>
      <c r="F81" s="35" t="n"/>
      <c r="G81" s="35" t="n"/>
      <c r="H81" s="35" t="n"/>
      <c r="I81" s="35" t="n"/>
      <c r="J81" s="35" t="n"/>
      <c r="K81" s="35" t="n"/>
      <c r="L81" s="35" t="n"/>
      <c r="M81" s="35" t="n"/>
      <c r="N81" s="35" t="n"/>
      <c r="O81" s="35" t="n"/>
      <c r="P81" s="35" t="n"/>
      <c r="Q81" s="35" t="n"/>
      <c r="R81" s="35" t="n"/>
      <c r="S81" s="35" t="n"/>
      <c r="T81" s="35" t="n"/>
      <c r="U81" s="35" t="n"/>
      <c r="V81" s="38" t="inlineStr">
        <is>
          <t>all links were dead</t>
        </is>
      </c>
    </row>
    <row r="82">
      <c r="A82" s="5" t="inlineStr">
        <is>
          <t>Printed Parts</t>
        </is>
      </c>
      <c r="B82" s="5" t="inlineStr">
        <is>
          <t>Printed Parts</t>
        </is>
      </c>
      <c r="C82" s="5" t="n"/>
      <c r="D82" s="5" t="inlineStr">
        <is>
          <t>1</t>
        </is>
      </c>
      <c r="E82" s="5" t="inlineStr">
        <is>
          <t>All</t>
        </is>
      </c>
      <c r="F82" s="6">
        <f>HYPERLINK("https://pif.voron.dev/","Print It Forward")</f>
        <v/>
      </c>
      <c r="G82" s="5" t="n"/>
      <c r="H82" s="5" t="n"/>
      <c r="I82" s="5" t="n"/>
      <c r="J82" s="5" t="n"/>
      <c r="K82" s="5" t="n"/>
      <c r="L82" s="5" t="n"/>
      <c r="M82" s="5" t="n"/>
      <c r="N82" s="5" t="n"/>
      <c r="O82" s="5" t="n"/>
      <c r="P82" s="5" t="n"/>
      <c r="Q82" s="5" t="n"/>
      <c r="R82" s="5" t="n"/>
      <c r="S82" s="5" t="n"/>
      <c r="T82" s="5" t="n"/>
      <c r="U82" s="5" t="n"/>
      <c r="V82" s="5" t="n"/>
    </row>
    <row r="83">
      <c r="B83" s="2" t="inlineStr">
        <is>
          <t>Full kits are availible from a number of suppliers listed below</t>
        </is>
      </c>
    </row>
    <row r="84">
      <c r="A84" s="60" t="inlineStr">
        <is>
          <t>Kits</t>
        </is>
      </c>
      <c r="B84" s="60" t="inlineStr">
        <is>
          <t>Voron V0.1 Kit - LDO</t>
        </is>
      </c>
      <c r="C84" s="60" t="n"/>
      <c r="D84" s="60" t="inlineStr">
        <is>
          <t>1</t>
        </is>
      </c>
      <c r="E84" s="60" t="inlineStr">
        <is>
          <t>All</t>
        </is>
      </c>
      <c r="F84" s="62">
        <f>HYPERLINK("https://mnlasercutting.com/shop/p/voron-zero-ldo-kit","MNLaserCutting")</f>
        <v/>
      </c>
      <c r="G84" s="60" t="n"/>
      <c r="H84" s="60" t="n"/>
      <c r="I84" s="60" t="n"/>
      <c r="J84" s="60" t="n"/>
      <c r="K84" s="60" t="n"/>
      <c r="L84" s="60" t="n"/>
      <c r="M84" s="60" t="n"/>
      <c r="N84" s="60" t="n"/>
      <c r="O84" s="60" t="n"/>
      <c r="P84" s="60" t="n"/>
      <c r="Q84" s="60" t="n"/>
      <c r="R84" s="60" t="n"/>
      <c r="S84" s="60" t="n"/>
      <c r="T84" s="60" t="n"/>
      <c r="U84" s="60" t="n"/>
      <c r="V84" s="63" t="inlineStr">
        <is>
          <t>some links were dead</t>
        </is>
      </c>
    </row>
    <row r="85">
      <c r="A85" s="60" t="inlineStr">
        <is>
          <t>Kits</t>
        </is>
      </c>
      <c r="B85" s="60" t="inlineStr">
        <is>
          <t>Voron V0.1 Kit - FYSETC</t>
        </is>
      </c>
      <c r="C85" s="60" t="n"/>
      <c r="D85" s="60" t="inlineStr">
        <is>
          <t>1</t>
        </is>
      </c>
      <c r="E85" s="60" t="inlineStr">
        <is>
          <t>All</t>
        </is>
      </c>
      <c r="F85" s="60" t="n"/>
      <c r="G85" s="60" t="n"/>
      <c r="H85" s="60" t="n"/>
      <c r="I85" s="60" t="n"/>
      <c r="J85" s="60" t="n"/>
      <c r="K85" s="60" t="n"/>
      <c r="L85" s="60" t="n"/>
      <c r="M85" s="60" t="n"/>
      <c r="N85" s="60" t="n"/>
      <c r="O85" s="60" t="n"/>
      <c r="P85" s="60" t="n"/>
      <c r="Q85" s="60" t="n"/>
      <c r="R85" s="60" t="n"/>
      <c r="S85" s="60" t="n"/>
      <c r="T85" s="60" t="n"/>
      <c r="U85" s="60" t="n"/>
      <c r="V85" s="63" t="inlineStr">
        <is>
          <t>all links were dead</t>
        </is>
      </c>
    </row>
    <row r="86">
      <c r="A86" s="60" t="inlineStr">
        <is>
          <t>Kits</t>
        </is>
      </c>
      <c r="B86" s="60" t="inlineStr">
        <is>
          <t>Voron V0.1 Kit - FORMBOT</t>
        </is>
      </c>
      <c r="C86" s="60" t="n"/>
      <c r="D86" s="60" t="inlineStr">
        <is>
          <t>1</t>
        </is>
      </c>
      <c r="E86" s="60" t="inlineStr">
        <is>
          <t>All</t>
        </is>
      </c>
      <c r="F86" s="62">
        <f>HYPERLINK("https://s.click.aliexpress.com/e/_9xE4rJ","Formbot")</f>
        <v/>
      </c>
      <c r="G86" s="60" t="n"/>
      <c r="H86" s="60" t="n"/>
      <c r="I86" s="60" t="n"/>
      <c r="J86" s="60" t="n"/>
      <c r="K86" s="60" t="n"/>
      <c r="L86" s="60" t="n"/>
      <c r="M86" s="60" t="n"/>
      <c r="N86" s="60" t="n"/>
      <c r="O86" s="60" t="n"/>
      <c r="P86" s="60" t="n"/>
      <c r="Q86" s="60" t="n"/>
      <c r="R86" s="60" t="n"/>
      <c r="S86" s="60" t="n"/>
      <c r="T86" s="60" t="n"/>
      <c r="U86" s="60" t="n"/>
      <c r="V86" s="60" t="n"/>
    </row>
    <row r="87">
      <c r="B87" s="53" t="inlineStr">
        <is>
          <t>As an Aliexpress Affiliate we earn from qualifying purchases at no cost to the buyer.</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X115"/>
  <sheetViews>
    <sheetView workbookViewId="0">
      <pane ySplit="1" topLeftCell="A2" activePane="bottomLeft" state="frozen"/>
      <selection pane="bottomLeft" activeCell="A1" sqref="A1"/>
    </sheetView>
  </sheetViews>
  <sheetFormatPr baseColWidth="8" defaultRowHeight="15"/>
  <cols>
    <col width="19.9" customWidth="1" min="1" max="1"/>
    <col width="34.5" customWidth="1" min="2" max="2"/>
    <col width="17.1" customWidth="1" min="3" max="3"/>
    <col width="7" customWidth="1" min="4" max="4"/>
    <col width="8.5" customWidth="1" min="5" max="5"/>
    <col width="20" customWidth="1" min="6" max="6"/>
    <col width="15" customWidth="1" min="7" max="7"/>
    <col width="20" customWidth="1" min="8" max="8"/>
    <col width="15" customWidth="1" min="9" max="9"/>
    <col width="20" customWidth="1" min="10" max="10"/>
    <col width="15" customWidth="1" min="11" max="11"/>
    <col width="20" customWidth="1" min="12" max="12"/>
    <col width="15" customWidth="1" min="13" max="13"/>
    <col width="20" customWidth="1" min="14" max="14"/>
    <col width="15" customWidth="1" min="15" max="15"/>
    <col width="20" customWidth="1" min="16" max="16"/>
    <col width="15" customWidth="1" min="17" max="17"/>
    <col width="20" customWidth="1" min="18" max="18"/>
    <col width="20" customWidth="1" min="19" max="19"/>
    <col width="20" customWidth="1" min="20" max="20"/>
    <col width="20" customWidth="1" min="21" max="21"/>
    <col width="20" customWidth="1" min="22" max="22"/>
    <col width="90" customWidth="1" min="23" max="23"/>
    <col width="20" customWidth="1" min="24" max="24"/>
  </cols>
  <sheetData>
    <row r="1">
      <c r="A1" s="3" t="inlineStr">
        <is>
          <t>Category</t>
        </is>
      </c>
      <c r="B1" s="3" t="inlineStr">
        <is>
          <t>Component</t>
        </is>
      </c>
      <c r="C1" s="3" t="inlineStr">
        <is>
          <t>Standard</t>
        </is>
      </c>
      <c r="D1" s="3" t="inlineStr">
        <is>
          <t>Qty</t>
        </is>
      </c>
      <c r="E1" s="3" t="inlineStr">
        <is>
          <t>Size</t>
        </is>
      </c>
      <c r="F1" s="4" t="inlineStr">
        <is>
          <t>Recommended</t>
        </is>
      </c>
      <c r="G1" s="3" t="inlineStr"/>
      <c r="H1" s="4" t="inlineStr">
        <is>
          <t>Alternative Source</t>
        </is>
      </c>
      <c r="I1" s="3" t="inlineStr"/>
      <c r="J1" s="4" t="inlineStr">
        <is>
          <t>Alternative Source 2</t>
        </is>
      </c>
      <c r="K1" s="3" t="inlineStr"/>
      <c r="L1" s="4" t="inlineStr">
        <is>
          <t>Alternative Source 3</t>
        </is>
      </c>
      <c r="M1" s="3" t="inlineStr"/>
      <c r="N1" s="4" t="inlineStr">
        <is>
          <t>Alternative Source 4</t>
        </is>
      </c>
      <c r="O1" s="3" t="inlineStr"/>
      <c r="P1" s="4" t="inlineStr">
        <is>
          <t>Alternative Source 5</t>
        </is>
      </c>
      <c r="Q1" s="3" t="inlineStr"/>
      <c r="R1" s="4" t="inlineStr">
        <is>
          <t>Alternative Source 6</t>
        </is>
      </c>
      <c r="S1" s="4" t="inlineStr">
        <is>
          <t>Alternative Source 7</t>
        </is>
      </c>
      <c r="T1" s="4" t="inlineStr">
        <is>
          <t>Alternative Source 8</t>
        </is>
      </c>
      <c r="U1" s="4" t="inlineStr">
        <is>
          <t>Alternative Source 9</t>
        </is>
      </c>
      <c r="V1" s="4" t="inlineStr">
        <is>
          <t>Alternative Source 10</t>
        </is>
      </c>
      <c r="W1" s="3" t="inlineStr">
        <is>
          <t>Notes</t>
        </is>
      </c>
      <c r="X1" s="3" t="inlineStr">
        <is>
          <t>Link check</t>
        </is>
      </c>
    </row>
    <row r="2">
      <c r="A2" s="5" t="inlineStr">
        <is>
          <t>Filament</t>
        </is>
      </c>
      <c r="B2" s="5" t="inlineStr">
        <is>
          <t>Primary Color (Black)</t>
        </is>
      </c>
      <c r="C2" s="5" t="n"/>
      <c r="D2" s="5" t="inlineStr">
        <is>
          <t>1</t>
        </is>
      </c>
      <c r="E2" s="5" t="inlineStr">
        <is>
          <t>All</t>
        </is>
      </c>
      <c r="F2" s="6">
        <f>HYPERLINK("https://www.paramount-3d.com/product-page/absblack","Paramount ABS")</f>
        <v/>
      </c>
      <c r="G2" s="7">
        <f>HYPERLINK("https://amzn.to/2nb63qR","[Affiliate Link]")</f>
        <v/>
      </c>
      <c r="H2" s="5" t="n"/>
      <c r="I2" s="5" t="n"/>
      <c r="J2" s="5" t="n"/>
      <c r="K2" s="5" t="n"/>
      <c r="L2" s="5" t="n"/>
      <c r="M2" s="5" t="n"/>
      <c r="N2" s="5" t="n"/>
      <c r="O2" s="5" t="n"/>
      <c r="P2" s="5" t="n"/>
      <c r="Q2" s="5" t="n"/>
      <c r="R2" s="5" t="n"/>
      <c r="S2" s="5" t="n"/>
      <c r="T2" s="5" t="n"/>
      <c r="U2" s="5" t="n"/>
      <c r="V2" s="5" t="n"/>
      <c r="W2" s="8" t="inlineStr">
        <is>
          <t>MakeShaper ABS</t>
        </is>
      </c>
      <c r="X2" s="5" t="n"/>
    </row>
    <row r="3">
      <c r="A3" s="5" t="inlineStr">
        <is>
          <t>Filament</t>
        </is>
      </c>
      <c r="B3" s="5" t="inlineStr">
        <is>
          <t>Secondary Color (Red)</t>
        </is>
      </c>
      <c r="C3" s="5" t="n"/>
      <c r="D3" s="5" t="inlineStr">
        <is>
          <t>1</t>
        </is>
      </c>
      <c r="E3" s="5" t="inlineStr">
        <is>
          <t>All</t>
        </is>
      </c>
      <c r="F3" s="6">
        <f>HYPERLINK("https://www.paramount-3d.com/product-page/abs-pantone-enzo-red-485c-1-75mm-1kg-filament-trrl3020485c","Paramount ABS")</f>
        <v/>
      </c>
      <c r="G3" s="7">
        <f>HYPERLINK("https://amzn.to/2lqEYQ1","[Affiliate Link]")</f>
        <v/>
      </c>
      <c r="H3" s="7">
        <f>HYPERLINK("https://www.amazon.com/dp/B00J0HB1YI","Hatchbox ABS")</f>
        <v/>
      </c>
      <c r="I3" s="7">
        <f>HYPERLINK("https://amzn.to/2ltf8Lj","[Affiliate Link]")</f>
        <v/>
      </c>
      <c r="J3" s="5" t="n"/>
      <c r="K3" s="5" t="n"/>
      <c r="L3" s="5" t="n"/>
      <c r="M3" s="5" t="n"/>
      <c r="N3" s="5" t="n"/>
      <c r="O3" s="5" t="n"/>
      <c r="P3" s="5" t="n"/>
      <c r="Q3" s="5" t="n"/>
      <c r="R3" s="5" t="n"/>
      <c r="S3" s="5" t="n"/>
      <c r="T3" s="5" t="n"/>
      <c r="U3" s="5" t="n"/>
      <c r="V3" s="5" t="n"/>
      <c r="W3" s="8" t="inlineStr">
        <is>
          <t>MakeShaper ABS</t>
        </is>
      </c>
      <c r="X3" s="5" t="n"/>
    </row>
    <row r="4">
      <c r="A4" s="5" t="inlineStr">
        <is>
          <t>Printed Parts</t>
        </is>
      </c>
      <c r="B4" s="5" t="inlineStr">
        <is>
          <t>Printed Parts</t>
        </is>
      </c>
      <c r="C4" s="5" t="n"/>
      <c r="D4" s="5" t="inlineStr">
        <is>
          <t>1</t>
        </is>
      </c>
      <c r="E4" s="5" t="inlineStr">
        <is>
          <t>All</t>
        </is>
      </c>
      <c r="F4" s="6">
        <f>HYPERLINK("https://pif.voron.dev/","Print It Forward")</f>
        <v/>
      </c>
      <c r="G4" s="5" t="n"/>
      <c r="H4" s="5" t="inlineStr">
        <is>
          <t>Print Yourself</t>
        </is>
      </c>
      <c r="I4" s="5" t="n"/>
      <c r="J4" s="5" t="n"/>
      <c r="K4" s="5" t="n"/>
      <c r="L4" s="5" t="n"/>
      <c r="M4" s="5" t="n"/>
      <c r="N4" s="5" t="n"/>
      <c r="O4" s="5" t="n"/>
      <c r="P4" s="5" t="n"/>
      <c r="Q4" s="5" t="n"/>
      <c r="R4" s="5" t="n"/>
      <c r="S4" s="5" t="n"/>
      <c r="T4" s="5" t="n"/>
      <c r="U4" s="5" t="n"/>
      <c r="V4" s="5" t="n"/>
      <c r="W4" s="5" t="n"/>
      <c r="X4" s="5" t="n"/>
    </row>
    <row r="5">
      <c r="A5" s="9" t="inlineStr">
        <is>
          <t>Fasteners</t>
        </is>
      </c>
      <c r="B5" s="9" t="inlineStr">
        <is>
          <t>M5x40 SHCS</t>
        </is>
      </c>
      <c r="C5" s="9" t="inlineStr">
        <is>
          <t>ISO 4762 / DIN 912</t>
        </is>
      </c>
      <c r="D5" s="9" t="inlineStr">
        <is>
          <t>8</t>
        </is>
      </c>
      <c r="E5" s="9" t="inlineStr">
        <is>
          <t>All</t>
        </is>
      </c>
      <c r="F5" s="10">
        <f>HYPERLINK("https://www.boltdepot.com/Product-Details.aspx?product=6527","Bolt Depot")</f>
        <v/>
      </c>
      <c r="G5" s="9" t="n"/>
      <c r="H5" s="11">
        <f>HYPERLINK("https://www.mcmaster.com/91290A196/","McMaster-Carr (10 pack)")</f>
        <v/>
      </c>
      <c r="I5" s="9" t="n"/>
      <c r="J5" s="9" t="n"/>
      <c r="K5" s="9" t="n"/>
      <c r="L5" s="9" t="n"/>
      <c r="M5" s="9" t="n"/>
      <c r="N5" s="9" t="n"/>
      <c r="O5" s="9" t="n"/>
      <c r="P5" s="9" t="n"/>
      <c r="Q5" s="9" t="n"/>
      <c r="R5" s="9" t="n"/>
      <c r="S5" s="9" t="n"/>
      <c r="T5" s="9" t="n"/>
      <c r="U5" s="9" t="n"/>
      <c r="V5" s="9" t="n"/>
      <c r="W5" s="9" t="n"/>
      <c r="X5" s="9" t="n"/>
    </row>
    <row r="6">
      <c r="A6" s="9" t="inlineStr">
        <is>
          <t>Fasteners</t>
        </is>
      </c>
      <c r="B6" s="9" t="inlineStr">
        <is>
          <t>M5x30 BHCS</t>
        </is>
      </c>
      <c r="C6" s="9" t="inlineStr">
        <is>
          <t>ISO 7380-1</t>
        </is>
      </c>
      <c r="D6" s="9" t="inlineStr">
        <is>
          <t>6</t>
        </is>
      </c>
      <c r="E6" s="9" t="inlineStr">
        <is>
          <t>All</t>
        </is>
      </c>
      <c r="F6" s="10">
        <f>HYPERLINK("https://www.boltdepot.com/Product-Details.aspx?product=15651","Bolt Depot")</f>
        <v/>
      </c>
      <c r="G6" s="9" t="n"/>
      <c r="H6" s="11">
        <f>HYPERLINK("https://www.boltdepot.com/Product-Details.aspx?product=13348","Bolt Depot")</f>
        <v/>
      </c>
      <c r="I6" s="9" t="n"/>
      <c r="J6" s="11">
        <f>HYPERLINK("https://www.mcmaster.com/91239A236/","McMaster-Carr (100 pack)")</f>
        <v/>
      </c>
      <c r="K6" s="9" t="n"/>
      <c r="L6" s="9" t="n"/>
      <c r="M6" s="9" t="n"/>
      <c r="N6" s="9" t="n"/>
      <c r="O6" s="9" t="n"/>
      <c r="P6" s="9" t="n"/>
      <c r="Q6" s="9" t="n"/>
      <c r="R6" s="9" t="n"/>
      <c r="S6" s="9" t="n"/>
      <c r="T6" s="9" t="n"/>
      <c r="U6" s="9" t="n"/>
      <c r="V6" s="9" t="n"/>
      <c r="W6" s="9" t="n"/>
      <c r="X6" s="9" t="n"/>
    </row>
    <row r="7">
      <c r="A7" s="9" t="inlineStr">
        <is>
          <t>Fasteners</t>
        </is>
      </c>
      <c r="B7" s="9" t="inlineStr">
        <is>
          <t>M5x16 BHCS</t>
        </is>
      </c>
      <c r="C7" s="9" t="inlineStr">
        <is>
          <t>ISO 7380-1</t>
        </is>
      </c>
      <c r="D7" s="9" t="inlineStr">
        <is>
          <t>44</t>
        </is>
      </c>
      <c r="E7" s="9" t="inlineStr">
        <is>
          <t>All</t>
        </is>
      </c>
      <c r="F7" s="10">
        <f>HYPERLINK("https://www.boltdepot.com/Product-Details.aspx?product=15648","Bolt Depot")</f>
        <v/>
      </c>
      <c r="G7" s="9" t="n"/>
      <c r="H7" s="11">
        <f>HYPERLINK("https://www.boltdepot.com/Product-Details.aspx?product=13345","Bolt Depot")</f>
        <v/>
      </c>
      <c r="I7" s="9" t="n"/>
      <c r="J7" s="11">
        <f>HYPERLINK("https://www.mcmaster.com/91239A232/","McMaster-Carr (100 pack)")</f>
        <v/>
      </c>
      <c r="K7" s="9" t="n"/>
      <c r="L7" s="9" t="n"/>
      <c r="M7" s="9" t="n"/>
      <c r="N7" s="9" t="n"/>
      <c r="O7" s="9" t="n"/>
      <c r="P7" s="9" t="n"/>
      <c r="Q7" s="9" t="n"/>
      <c r="R7" s="9" t="n"/>
      <c r="S7" s="9" t="n"/>
      <c r="T7" s="9" t="n"/>
      <c r="U7" s="9" t="n"/>
      <c r="V7" s="9" t="n"/>
      <c r="W7" s="9" t="n"/>
      <c r="X7" s="9" t="n"/>
    </row>
    <row r="8">
      <c r="A8" s="9" t="inlineStr">
        <is>
          <t>Fasteners</t>
        </is>
      </c>
      <c r="B8" s="9" t="inlineStr">
        <is>
          <t>M5x10 BHCS</t>
        </is>
      </c>
      <c r="C8" s="9" t="inlineStr">
        <is>
          <t>ISO 7380-1</t>
        </is>
      </c>
      <c r="D8" s="9" t="inlineStr">
        <is>
          <t>69</t>
        </is>
      </c>
      <c r="E8" s="9" t="inlineStr">
        <is>
          <t>All</t>
        </is>
      </c>
      <c r="F8" s="10">
        <f>HYPERLINK("https://www.boltdepot.com/Product-Details.aspx?product=15646","Bolt Depot")</f>
        <v/>
      </c>
      <c r="G8" s="9" t="n"/>
      <c r="H8" s="11">
        <f>HYPERLINK("https://www.boltdepot.com/Product-Details.aspx?product=13343","Bolt Depot")</f>
        <v/>
      </c>
      <c r="I8" s="9" t="n"/>
      <c r="J8" s="11">
        <f>HYPERLINK("https://www.mcmaster.com/91239A224/","McMaster-Carr (100 pack)")</f>
        <v/>
      </c>
      <c r="K8" s="9" t="n"/>
      <c r="L8" s="9" t="n"/>
      <c r="M8" s="9" t="n"/>
      <c r="N8" s="9" t="n"/>
      <c r="O8" s="9" t="n"/>
      <c r="P8" s="9" t="n"/>
      <c r="Q8" s="9" t="n"/>
      <c r="R8" s="9" t="n"/>
      <c r="S8" s="9" t="n"/>
      <c r="T8" s="9" t="n"/>
      <c r="U8" s="9" t="n"/>
      <c r="V8" s="9" t="n"/>
      <c r="W8" s="9" t="n"/>
      <c r="X8" s="9" t="n"/>
    </row>
    <row r="9">
      <c r="A9" s="9" t="inlineStr">
        <is>
          <t>Fasteners</t>
        </is>
      </c>
      <c r="B9" s="9" t="inlineStr">
        <is>
          <t>M5 Hexnut</t>
        </is>
      </c>
      <c r="C9" s="9" t="inlineStr">
        <is>
          <t>ISO 4033 / DIN 934</t>
        </is>
      </c>
      <c r="D9" s="9" t="inlineStr">
        <is>
          <t>8</t>
        </is>
      </c>
      <c r="E9" s="9" t="inlineStr">
        <is>
          <t>All</t>
        </is>
      </c>
      <c r="F9" s="10">
        <f>HYPERLINK("https://www.boltdepot.com/Product-Details.aspx?product=4785","Bolt Depot")</f>
        <v/>
      </c>
      <c r="G9" s="9" t="n"/>
      <c r="H9" s="11">
        <f>HYPERLINK("https://www.boltdepot.com/Metric_hex_nuts_Stainless_steel_18-8_(A-2).aspx","Bolt Depot")</f>
        <v/>
      </c>
      <c r="I9" s="9" t="n"/>
      <c r="J9" s="9" t="n"/>
      <c r="K9" s="9" t="n"/>
      <c r="L9" s="9" t="n"/>
      <c r="M9" s="9" t="n"/>
      <c r="N9" s="9" t="n"/>
      <c r="O9" s="9" t="n"/>
      <c r="P9" s="9" t="n"/>
      <c r="Q9" s="9" t="n"/>
      <c r="R9" s="9" t="n"/>
      <c r="S9" s="9" t="n"/>
      <c r="T9" s="9" t="n"/>
      <c r="U9" s="9" t="n"/>
      <c r="V9" s="9" t="n"/>
      <c r="W9" s="9" t="n"/>
      <c r="X9" s="9" t="n"/>
    </row>
    <row r="10">
      <c r="A10" s="9" t="inlineStr">
        <is>
          <t>Fasteners</t>
        </is>
      </c>
      <c r="B10" s="9" t="inlineStr">
        <is>
          <t>M5 1.0mm Thick Shim/Washer</t>
        </is>
      </c>
      <c r="C10" s="9" t="inlineStr">
        <is>
          <t>DIN 988</t>
        </is>
      </c>
      <c r="D10" s="9" t="inlineStr">
        <is>
          <t>20</t>
        </is>
      </c>
      <c r="E10" s="9" t="inlineStr">
        <is>
          <t>All</t>
        </is>
      </c>
      <c r="F10" s="10">
        <f>HYPERLINK("https://www.aliexpress.com/item/32917948919.html","Aliexpress")</f>
        <v/>
      </c>
      <c r="G10" s="11">
        <f>HYPERLINK("https://s.click.aliexpress.com/e/_9vyYqu","[Affiliate Link]")</f>
        <v/>
      </c>
      <c r="H10" s="11">
        <f>HYPERLINK("https://www.mcmaster.com/98055A099/","McMaster-Carr (50 pack)")</f>
        <v/>
      </c>
      <c r="I10" s="9" t="n"/>
      <c r="J10" s="9" t="n"/>
      <c r="K10" s="9" t="n"/>
      <c r="L10" s="9" t="n"/>
      <c r="M10" s="9" t="n"/>
      <c r="N10" s="9" t="n"/>
      <c r="O10" s="9" t="n"/>
      <c r="P10" s="9" t="n"/>
      <c r="Q10" s="9" t="n"/>
      <c r="R10" s="9" t="n"/>
      <c r="S10" s="9" t="n"/>
      <c r="T10" s="9" t="n"/>
      <c r="U10" s="9" t="n"/>
      <c r="V10" s="9" t="n"/>
      <c r="W10" s="9" t="n"/>
      <c r="X10" s="9" t="n"/>
    </row>
    <row r="11">
      <c r="A11" s="9" t="inlineStr">
        <is>
          <t>Fasteners</t>
        </is>
      </c>
      <c r="B11" s="9" t="inlineStr">
        <is>
          <t>M5 T-Nut</t>
        </is>
      </c>
      <c r="C11" s="9" t="n"/>
      <c r="D11" s="9" t="inlineStr">
        <is>
          <t>75</t>
        </is>
      </c>
      <c r="E11" s="9" t="inlineStr">
        <is>
          <t>All</t>
        </is>
      </c>
      <c r="F11" s="10">
        <f>HYPERLINK("https://www.aliexpress.com/item/32805163712.html","ZFhong")</f>
        <v/>
      </c>
      <c r="G11" s="11">
        <f>HYPERLINK("https://s.click.aliexpress.com/e/_A7AOVO","[Affiliate Link]")</f>
        <v/>
      </c>
      <c r="H11" s="11">
        <f>HYPERLINK("https://www.aliexpress.com/item/32706208829.html","Link CNC")</f>
        <v/>
      </c>
      <c r="I11" s="11">
        <f>HYPERLINK("https://s.click.aliexpress.com/e/_9AnI1m","[Affiliate Link]")</f>
        <v/>
      </c>
      <c r="J11" s="11">
        <f>HYPERLINK("https://us.misumi-ec.com/vona2/detail/110302247910","Misumi")</f>
        <v/>
      </c>
      <c r="K11" s="9" t="n"/>
      <c r="L11" s="9" t="n"/>
      <c r="M11" s="9" t="n"/>
      <c r="N11" s="9" t="n"/>
      <c r="O11" s="9" t="n"/>
      <c r="P11" s="9" t="n"/>
      <c r="Q11" s="9" t="n"/>
      <c r="R11" s="9" t="n"/>
      <c r="S11" s="9" t="n"/>
      <c r="T11" s="9" t="n"/>
      <c r="U11" s="9" t="n"/>
      <c r="V11" s="9" t="n"/>
      <c r="W11" s="9" t="n"/>
      <c r="X11" s="9" t="n"/>
    </row>
    <row r="12">
      <c r="A12" s="9" t="inlineStr">
        <is>
          <t>Fasteners</t>
        </is>
      </c>
      <c r="B12" s="9" t="inlineStr">
        <is>
          <t>M4x6 BHCS</t>
        </is>
      </c>
      <c r="C12" s="9" t="inlineStr">
        <is>
          <t>ISO 7380-1</t>
        </is>
      </c>
      <c r="D12" s="9" t="inlineStr">
        <is>
          <t>5</t>
        </is>
      </c>
      <c r="E12" s="9" t="inlineStr">
        <is>
          <t>All</t>
        </is>
      </c>
      <c r="F12" s="10">
        <f>HYPERLINK("https://www.boltdepot.com/Product-Details.aspx?product=18944","Bolt Depot")</f>
        <v/>
      </c>
      <c r="G12" s="9" t="n"/>
      <c r="H12" s="11">
        <f>HYPERLINK("https://www.mcmaster.com/91239A138/","McMaster-Carr (100 pack)")</f>
        <v/>
      </c>
      <c r="I12" s="9" t="n"/>
      <c r="J12" s="9" t="n"/>
      <c r="K12" s="9" t="n"/>
      <c r="L12" s="9" t="n"/>
      <c r="M12" s="9" t="n"/>
      <c r="N12" s="9" t="n"/>
      <c r="O12" s="9" t="n"/>
      <c r="P12" s="9" t="n"/>
      <c r="Q12" s="9" t="n"/>
      <c r="R12" s="9" t="n"/>
      <c r="S12" s="9" t="n"/>
      <c r="T12" s="9" t="n"/>
      <c r="U12" s="9" t="n"/>
      <c r="V12" s="9" t="n"/>
      <c r="W12" s="9" t="n"/>
      <c r="X12" s="9" t="n"/>
    </row>
    <row r="13">
      <c r="A13" s="9" t="inlineStr">
        <is>
          <t>Fasteners</t>
        </is>
      </c>
      <c r="B13" s="9" t="inlineStr">
        <is>
          <t>M3x40 SHCS</t>
        </is>
      </c>
      <c r="C13" s="9" t="inlineStr">
        <is>
          <t>ISO 4762 / DIN 912</t>
        </is>
      </c>
      <c r="D13" s="9" t="inlineStr">
        <is>
          <t>5</t>
        </is>
      </c>
      <c r="E13" s="9" t="inlineStr">
        <is>
          <t>All</t>
        </is>
      </c>
      <c r="F13" s="10">
        <f>HYPERLINK("https://www.boltdepot.com/Product-Details.aspx?product=6387","Bolt Depot")</f>
        <v/>
      </c>
      <c r="G13" s="9" t="n"/>
      <c r="H13" s="11">
        <f>HYPERLINK("https://www.mcmaster.com/91290A136/","McMaster-Carr (25 pack)")</f>
        <v/>
      </c>
      <c r="I13" s="9" t="n"/>
      <c r="J13" s="9" t="n"/>
      <c r="K13" s="9" t="n"/>
      <c r="L13" s="9" t="n"/>
      <c r="M13" s="9" t="n"/>
      <c r="N13" s="9" t="n"/>
      <c r="O13" s="9" t="n"/>
      <c r="P13" s="9" t="n"/>
      <c r="Q13" s="9" t="n"/>
      <c r="R13" s="9" t="n"/>
      <c r="S13" s="9" t="n"/>
      <c r="T13" s="9" t="n"/>
      <c r="U13" s="9" t="n"/>
      <c r="V13" s="9" t="n"/>
      <c r="W13" s="9" t="n"/>
      <c r="X13" s="9" t="n"/>
    </row>
    <row r="14">
      <c r="A14" s="9" t="inlineStr">
        <is>
          <t>Fasteners</t>
        </is>
      </c>
      <c r="B14" s="9" t="inlineStr">
        <is>
          <t>M3x30 SHCS</t>
        </is>
      </c>
      <c r="C14" s="9" t="inlineStr">
        <is>
          <t>ISO 4762 / DIN 912</t>
        </is>
      </c>
      <c r="D14" s="9" t="inlineStr">
        <is>
          <t>19</t>
        </is>
      </c>
      <c r="E14" s="9" t="inlineStr">
        <is>
          <t>All</t>
        </is>
      </c>
      <c r="F14" s="10">
        <f>HYPERLINK("https://www.boltdepot.com/Product-Details.aspx?product=13641","Bolt Depot")</f>
        <v/>
      </c>
      <c r="G14" s="9" t="n"/>
      <c r="H14" s="11">
        <f>HYPERLINK("https://www.mcmaster.com/91290A171/","McMaster-Carr (10 pack)")</f>
        <v/>
      </c>
      <c r="I14" s="9" t="n"/>
      <c r="J14" s="9" t="n"/>
      <c r="K14" s="9" t="n"/>
      <c r="L14" s="9" t="n"/>
      <c r="M14" s="9" t="n"/>
      <c r="N14" s="9" t="n"/>
      <c r="O14" s="9" t="n"/>
      <c r="P14" s="9" t="n"/>
      <c r="Q14" s="9" t="n"/>
      <c r="R14" s="9" t="n"/>
      <c r="S14" s="9" t="n"/>
      <c r="T14" s="9" t="n"/>
      <c r="U14" s="9" t="n"/>
      <c r="V14" s="9" t="n"/>
      <c r="W14" s="9" t="n"/>
      <c r="X14" s="9" t="n"/>
    </row>
    <row r="15">
      <c r="A15" s="9" t="inlineStr">
        <is>
          <t>Fasteners</t>
        </is>
      </c>
      <c r="B15" s="9" t="inlineStr">
        <is>
          <t>M3x20 SHCS</t>
        </is>
      </c>
      <c r="C15" s="9" t="inlineStr">
        <is>
          <t>ISO 4762 / DIN 912</t>
        </is>
      </c>
      <c r="D15" s="9" t="inlineStr">
        <is>
          <t>7</t>
        </is>
      </c>
      <c r="E15" s="9" t="inlineStr">
        <is>
          <t>All</t>
        </is>
      </c>
      <c r="F15" s="10">
        <f>HYPERLINK("https://www.boltdepot.com/Product-Details.aspx?product=13639","Bolt Depot")</f>
        <v/>
      </c>
      <c r="G15" s="9" t="n"/>
      <c r="H15" s="11">
        <f>HYPERLINK("https://www.mcmaster.com/91290A123/","McMaster-Carr (100 pack)")</f>
        <v/>
      </c>
      <c r="I15" s="9" t="n"/>
      <c r="J15" s="9" t="n"/>
      <c r="K15" s="9" t="n"/>
      <c r="L15" s="9" t="n"/>
      <c r="M15" s="9" t="n"/>
      <c r="N15" s="9" t="n"/>
      <c r="O15" s="9" t="n"/>
      <c r="P15" s="9" t="n"/>
      <c r="Q15" s="9" t="n"/>
      <c r="R15" s="9" t="n"/>
      <c r="S15" s="9" t="n"/>
      <c r="T15" s="9" t="n"/>
      <c r="U15" s="9" t="n"/>
      <c r="V15" s="9" t="n"/>
      <c r="W15" s="9" t="n"/>
      <c r="X15" s="9" t="n"/>
    </row>
    <row r="16">
      <c r="A16" s="9" t="inlineStr">
        <is>
          <t>Fasteners</t>
        </is>
      </c>
      <c r="B16" s="9" t="inlineStr">
        <is>
          <t>M3x16 SHCS</t>
        </is>
      </c>
      <c r="C16" s="9" t="inlineStr">
        <is>
          <t>ISO 4762 / DIN 912</t>
        </is>
      </c>
      <c r="D16" s="9" t="inlineStr">
        <is>
          <t>15</t>
        </is>
      </c>
      <c r="E16" s="9" t="inlineStr">
        <is>
          <t>All</t>
        </is>
      </c>
      <c r="F16" s="10">
        <f>HYPERLINK("https://www.boltdepot.com/Product-Details.aspx?product=13638","Bolt Depot")</f>
        <v/>
      </c>
      <c r="G16" s="9" t="n"/>
      <c r="H16" s="11">
        <f>HYPERLINK("https://www.mcmaster.com/91290A120/","McMaster-Carr (100 pack)")</f>
        <v/>
      </c>
      <c r="I16" s="9" t="n"/>
      <c r="J16" s="9" t="n"/>
      <c r="K16" s="9" t="n"/>
      <c r="L16" s="9" t="n"/>
      <c r="M16" s="9" t="n"/>
      <c r="N16" s="9" t="n"/>
      <c r="O16" s="9" t="n"/>
      <c r="P16" s="9" t="n"/>
      <c r="Q16" s="9" t="n"/>
      <c r="R16" s="9" t="n"/>
      <c r="S16" s="9" t="n"/>
      <c r="T16" s="9" t="n"/>
      <c r="U16" s="9" t="n"/>
      <c r="V16" s="9" t="n"/>
      <c r="W16" s="9" t="n"/>
      <c r="X16" s="9" t="n"/>
    </row>
    <row r="17">
      <c r="A17" s="9" t="inlineStr">
        <is>
          <t>Fasteners</t>
        </is>
      </c>
      <c r="B17" s="9" t="inlineStr">
        <is>
          <t>M3x12 SHCS</t>
        </is>
      </c>
      <c r="C17" s="9" t="inlineStr">
        <is>
          <t>ISO 4762 / DIN 912</t>
        </is>
      </c>
      <c r="D17" s="9" t="inlineStr">
        <is>
          <t>18</t>
        </is>
      </c>
      <c r="E17" s="9" t="inlineStr">
        <is>
          <t>All</t>
        </is>
      </c>
      <c r="F17" s="10">
        <f>HYPERLINK("https://www.boltdepot.com/Product-Details.aspx?product=13637","Bolt Depot")</f>
        <v/>
      </c>
      <c r="G17" s="9" t="n"/>
      <c r="H17" s="11">
        <f>HYPERLINK("https://www.mcmaster.com/91290A117/","McMaster-Carr (100 pack)")</f>
        <v/>
      </c>
      <c r="I17" s="9" t="n"/>
      <c r="J17" s="9" t="n"/>
      <c r="K17" s="9" t="n"/>
      <c r="L17" s="9" t="n"/>
      <c r="M17" s="9" t="n"/>
      <c r="N17" s="9" t="n"/>
      <c r="O17" s="9" t="n"/>
      <c r="P17" s="9" t="n"/>
      <c r="Q17" s="9" t="n"/>
      <c r="R17" s="9" t="n"/>
      <c r="S17" s="9" t="n"/>
      <c r="T17" s="9" t="n"/>
      <c r="U17" s="9" t="n"/>
      <c r="V17" s="9" t="n"/>
      <c r="W17" s="9" t="n"/>
      <c r="X17" s="9" t="n"/>
    </row>
    <row r="18">
      <c r="A18" s="9" t="inlineStr">
        <is>
          <t>Fasteners</t>
        </is>
      </c>
      <c r="B18" s="9" t="inlineStr">
        <is>
          <t>M3x8 SHCS</t>
        </is>
      </c>
      <c r="C18" s="9" t="inlineStr">
        <is>
          <t>ISO 4762 / DIN 912</t>
        </is>
      </c>
      <c r="D18" s="9" t="inlineStr">
        <is>
          <t>121</t>
        </is>
      </c>
      <c r="E18" s="9" t="inlineStr">
        <is>
          <t>All</t>
        </is>
      </c>
      <c r="F18" s="10">
        <f>HYPERLINK("https://www.boltdepot.com/Product-Details.aspx?product=13635","Bolt Depot")</f>
        <v/>
      </c>
      <c r="G18" s="9" t="n"/>
      <c r="H18" s="11">
        <f>HYPERLINK("https://www.boltdepot.com/Product-Details.aspx?product=13633","Bolt Depot")</f>
        <v/>
      </c>
      <c r="I18" s="9" t="n"/>
      <c r="J18" s="11">
        <f>HYPERLINK("https://www.mcmaster.com/91290A113/","McMaster-Carr (100 pack)")</f>
        <v/>
      </c>
      <c r="K18" s="9" t="n"/>
      <c r="L18" s="9" t="n"/>
      <c r="M18" s="9" t="n"/>
      <c r="N18" s="9" t="n"/>
      <c r="O18" s="9" t="n"/>
      <c r="P18" s="9" t="n"/>
      <c r="Q18" s="9" t="n"/>
      <c r="R18" s="9" t="n"/>
      <c r="S18" s="9" t="n"/>
      <c r="T18" s="9" t="n"/>
      <c r="U18" s="9" t="n"/>
      <c r="V18" s="9" t="n"/>
      <c r="W18" s="9" t="n"/>
      <c r="X18" s="9" t="n"/>
    </row>
    <row r="19">
      <c r="A19" s="9" t="inlineStr">
        <is>
          <t>Fasteners</t>
        </is>
      </c>
      <c r="B19" s="9" t="inlineStr">
        <is>
          <t>M3x6 BHCS</t>
        </is>
      </c>
      <c r="C19" s="9" t="inlineStr">
        <is>
          <t>ISO 7380-1</t>
        </is>
      </c>
      <c r="D19" s="9" t="inlineStr">
        <is>
          <t>17</t>
        </is>
      </c>
      <c r="E19" s="9" t="inlineStr">
        <is>
          <t>All</t>
        </is>
      </c>
      <c r="F19" s="10">
        <f>HYPERLINK("https://www.boltdepot.com/Product-Details.aspx?product=13334","Bolt Depot")</f>
        <v/>
      </c>
      <c r="G19" s="9" t="n"/>
      <c r="H19" s="11">
        <f>HYPERLINK("https://www.boltdepot.com/Metric_socket_button_head_Class_12.9_alloy_steel_black_oxide_finish_3mm_x_0.5mm.aspx","Bolt Depot")</f>
        <v/>
      </c>
      <c r="I19" s="9" t="n"/>
      <c r="J19" s="11">
        <f>HYPERLINK("https://www.mcmaster.com/91239A111/","McMaster-Carr (100 pack)")</f>
        <v/>
      </c>
      <c r="K19" s="9" t="n"/>
      <c r="L19" s="11">
        <f>HYPERLINK("https://s.click.aliexpress.com/e/_d7V4XEq","Aliexpress")</f>
        <v/>
      </c>
      <c r="M19" s="9" t="n"/>
      <c r="N19" s="9" t="n"/>
      <c r="O19" s="9" t="n"/>
      <c r="P19" s="9" t="n"/>
      <c r="Q19" s="9" t="n"/>
      <c r="R19" s="9" t="n"/>
      <c r="S19" s="9" t="n"/>
      <c r="T19" s="9" t="n"/>
      <c r="U19" s="9" t="n"/>
      <c r="V19" s="9" t="n"/>
      <c r="W19" s="9" t="n"/>
      <c r="X19" s="9" t="n"/>
    </row>
    <row r="20">
      <c r="A20" s="9" t="inlineStr">
        <is>
          <t>Fasteners</t>
        </is>
      </c>
      <c r="B20" s="9" t="inlineStr">
        <is>
          <t>M3 Washer</t>
        </is>
      </c>
      <c r="C20" s="9" t="inlineStr">
        <is>
          <t>ISO 7089 / DIN 125</t>
        </is>
      </c>
      <c r="D20" s="9" t="inlineStr">
        <is>
          <t>9</t>
        </is>
      </c>
      <c r="E20" s="9" t="inlineStr">
        <is>
          <t>All</t>
        </is>
      </c>
      <c r="F20" s="10">
        <f>HYPERLINK("https://www.boltdepot.com/Product-Details.aspx?product=4513","Bolt Depot")</f>
        <v/>
      </c>
      <c r="G20" s="9" t="n"/>
      <c r="H20" s="11">
        <f>HYPERLINK("https://www.mcmaster.com/93475A210/","McMaster-Carr (100 pack)")</f>
        <v/>
      </c>
      <c r="I20" s="9" t="n"/>
      <c r="J20" s="9" t="n"/>
      <c r="K20" s="9" t="n"/>
      <c r="L20" s="9" t="n"/>
      <c r="M20" s="9" t="n"/>
      <c r="N20" s="9" t="n"/>
      <c r="O20" s="9" t="n"/>
      <c r="P20" s="9" t="n"/>
      <c r="Q20" s="9" t="n"/>
      <c r="R20" s="9" t="n"/>
      <c r="S20" s="9" t="n"/>
      <c r="T20" s="9" t="n"/>
      <c r="U20" s="9" t="n"/>
      <c r="V20" s="9" t="n"/>
      <c r="W20" s="9" t="n"/>
      <c r="X20" s="9" t="n"/>
    </row>
    <row r="21">
      <c r="A21" s="9" t="inlineStr">
        <is>
          <t>Hardware</t>
        </is>
      </c>
      <c r="B21" s="9" t="inlineStr">
        <is>
          <t>M3 Hexnut</t>
        </is>
      </c>
      <c r="C21" s="9" t="inlineStr">
        <is>
          <t>ISO 4033 / DIN 934</t>
        </is>
      </c>
      <c r="D21" s="9" t="inlineStr">
        <is>
          <t>7</t>
        </is>
      </c>
      <c r="E21" s="9" t="inlineStr">
        <is>
          <t>All</t>
        </is>
      </c>
      <c r="F21" s="10">
        <f>HYPERLINK("https://www.boltdepot.com/Product-Details.aspx?product=4783","Bolt Depot")</f>
        <v/>
      </c>
      <c r="G21" s="9" t="n"/>
      <c r="H21" s="11">
        <f>HYPERLINK("https://www.boltdepot.com/Metric_hex_nuts_Stainless_steel_18-8_(A-2).aspx","Bolt Depot")</f>
        <v/>
      </c>
      <c r="I21" s="9" t="n"/>
      <c r="J21" s="11">
        <f>HYPERLINK("https://www.mcmaster.com/90591A250/","McMaster-Carr (100 pack)")</f>
        <v/>
      </c>
      <c r="K21" s="9" t="n"/>
      <c r="L21" s="11">
        <f>HYPERLINK("https://www.aliexpress.com/item/32977174437.html","Aliexpress")</f>
        <v/>
      </c>
      <c r="M21" s="9" t="n"/>
      <c r="N21" s="9" t="n"/>
      <c r="O21" s="9" t="n"/>
      <c r="P21" s="9" t="n"/>
      <c r="Q21" s="9" t="n"/>
      <c r="R21" s="9" t="n"/>
      <c r="S21" s="9" t="n"/>
      <c r="T21" s="9" t="n"/>
      <c r="U21" s="9" t="n"/>
      <c r="V21" s="9" t="n"/>
      <c r="W21" s="9" t="n"/>
      <c r="X21" s="9" t="n"/>
    </row>
    <row r="22">
      <c r="A22" s="9" t="inlineStr">
        <is>
          <t>Fasteners</t>
        </is>
      </c>
      <c r="B22" s="9" t="inlineStr">
        <is>
          <t>M3 Roll-in T-Nut</t>
        </is>
      </c>
      <c r="C22" s="9" t="n"/>
      <c r="D22" s="9" t="inlineStr">
        <is>
          <t>41</t>
        </is>
      </c>
      <c r="E22" s="9" t="inlineStr">
        <is>
          <t>All</t>
        </is>
      </c>
      <c r="F22" s="10">
        <f>HYPERLINK("https://www.aliexpress.com/item/32805163712.html","ZFhong")</f>
        <v/>
      </c>
      <c r="G22" s="11">
        <f>HYPERLINK("https://s.click.aliexpress.com/e/_AaU1Qc","[Affiliate Link]")</f>
        <v/>
      </c>
      <c r="H22" s="11">
        <f>HYPERLINK("https://us.misumi-ec.com/vona2/detail/110302247910","Misumi")</f>
        <v/>
      </c>
      <c r="I22" s="9" t="n"/>
      <c r="J22" s="11">
        <f>HYPERLINK("https://www.aliexpress.com/item/32706208829.html","Link CNC")</f>
        <v/>
      </c>
      <c r="K22" s="11">
        <f>HYPERLINK("https://s.click.aliexpress.com/e/_AK4KP2","[Affiliate Link]")</f>
        <v/>
      </c>
      <c r="L22" s="9" t="n"/>
      <c r="M22" s="9" t="n"/>
      <c r="N22" s="9" t="n"/>
      <c r="O22" s="9" t="n"/>
      <c r="P22" s="9" t="n"/>
      <c r="Q22" s="9" t="n"/>
      <c r="R22" s="9" t="n"/>
      <c r="S22" s="9" t="n"/>
      <c r="T22" s="9" t="n"/>
      <c r="U22" s="9" t="n"/>
      <c r="V22" s="9" t="n"/>
      <c r="W22" s="13" t="inlineStr">
        <is>
          <t>M3 Misumi nuts are not required for any specific locations like the M5 nuts. You can source cheaper if you would like to save a little money</t>
        </is>
      </c>
      <c r="X22" s="9" t="n"/>
    </row>
    <row r="23">
      <c r="A23" s="9" t="inlineStr">
        <is>
          <t>Fasteners</t>
        </is>
      </c>
      <c r="B23" s="9" t="inlineStr">
        <is>
          <t>M3 Thumb Screws</t>
        </is>
      </c>
      <c r="C23" s="9" t="inlineStr">
        <is>
          <t>DIN466-B</t>
        </is>
      </c>
      <c r="D23" s="9" t="inlineStr">
        <is>
          <t>3</t>
        </is>
      </c>
      <c r="E23" s="9" t="inlineStr">
        <is>
          <t>All</t>
        </is>
      </c>
      <c r="F23" s="10">
        <f>HYPERLINK("https://www.aliexpress.com/item/4000010655936.html","Aliexpress")</f>
        <v/>
      </c>
      <c r="G23" s="9" t="n"/>
      <c r="H23" s="9" t="n"/>
      <c r="I23" s="9" t="n"/>
      <c r="J23" s="9" t="n"/>
      <c r="K23" s="9" t="n"/>
      <c r="L23" s="9" t="n"/>
      <c r="M23" s="9" t="n"/>
      <c r="N23" s="9" t="n"/>
      <c r="O23" s="9" t="n"/>
      <c r="P23" s="9" t="n"/>
      <c r="Q23" s="9" t="n"/>
      <c r="R23" s="9" t="n"/>
      <c r="S23" s="9" t="n"/>
      <c r="T23" s="9" t="n"/>
      <c r="U23" s="9" t="n"/>
      <c r="V23" s="9" t="n"/>
      <c r="W23" s="9" t="n"/>
      <c r="X23" s="9" t="n"/>
    </row>
    <row r="24">
      <c r="A24" s="9" t="inlineStr">
        <is>
          <t>Fasteners</t>
        </is>
      </c>
      <c r="B24" s="9" t="inlineStr">
        <is>
          <t>M3 Heat Set Insert (M3x5x4)</t>
        </is>
      </c>
      <c r="C24" s="9" t="n"/>
      <c r="D24" s="9" t="inlineStr">
        <is>
          <t>40</t>
        </is>
      </c>
      <c r="E24" s="9" t="inlineStr">
        <is>
          <t>All</t>
        </is>
      </c>
      <c r="F24" s="10">
        <f>HYPERLINK("https://www.aliexpress.com/item/4000232858343.html","Aliexpress - M3x5x4")</f>
        <v/>
      </c>
      <c r="G24" s="11">
        <f>HYPERLINK("https://s.click.aliexpress.com/e/_dW3Uprs","[Affiliate Link]")</f>
        <v/>
      </c>
      <c r="H24" s="11">
        <f>HYPERLINK("https://s.click.aliexpress.com/e/_ANjqIj","Aliexpress")</f>
        <v/>
      </c>
      <c r="I24" s="9" t="n"/>
      <c r="J24" s="11">
        <f>HYPERLINK("https://www.amazon.com/dp/B077CJV3Z9","Amazon")</f>
        <v/>
      </c>
      <c r="K24" s="9" t="n"/>
      <c r="L24" s="11">
        <f>HYPERLINK("https://s.click.aliexpress.com/e/_dWMOd8C","Aliexpress - M3x5x4")</f>
        <v/>
      </c>
      <c r="M24" s="9" t="n"/>
      <c r="N24" s="11">
        <f>HYPERLINK("https://www.mcmaster.com/94180A331/","McMaster-Carr")</f>
        <v/>
      </c>
      <c r="O24" s="9" t="n"/>
      <c r="P24" s="11">
        <f>HYPERLINK("https://s.click.aliexpress.com/e/_dW3Uprs","AliExpress")</f>
        <v/>
      </c>
      <c r="Q24" s="9" t="n"/>
      <c r="R24" s="11">
        <f>HYPERLINK("https://cnckitchenus.store/products/made-for-voron-gewindeeinsatz-threaded-insert-m3x5x4-100-stk-pcs","CNC Kitchen")</f>
        <v/>
      </c>
      <c r="S24" s="9" t="n"/>
      <c r="T24" s="9" t="n"/>
      <c r="U24" s="9" t="n"/>
      <c r="V24" s="9" t="n"/>
      <c r="W24" s="9" t="n"/>
      <c r="X24" s="9" t="n"/>
    </row>
    <row r="25">
      <c r="A25" s="9" t="inlineStr">
        <is>
          <t>Fasteners</t>
        </is>
      </c>
      <c r="B25" s="9" t="inlineStr">
        <is>
          <t>M2x12 Self Tapping Screw for Plastics</t>
        </is>
      </c>
      <c r="C25" s="9" t="n"/>
      <c r="D25" s="9" t="inlineStr">
        <is>
          <t>2</t>
        </is>
      </c>
      <c r="E25" s="9" t="inlineStr">
        <is>
          <t>All</t>
        </is>
      </c>
      <c r="F25" s="10">
        <f>HYPERLINK("https://www.mcmaster.com/99397A269/","McMaster-Carr (50 pack)")</f>
        <v/>
      </c>
      <c r="G25" s="9" t="n"/>
      <c r="H25" s="9" t="n"/>
      <c r="I25" s="9" t="n"/>
      <c r="J25" s="9" t="n"/>
      <c r="K25" s="9" t="n"/>
      <c r="L25" s="9" t="n"/>
      <c r="M25" s="9" t="n"/>
      <c r="N25" s="9" t="n"/>
      <c r="O25" s="9" t="n"/>
      <c r="P25" s="9" t="n"/>
      <c r="Q25" s="9" t="n"/>
      <c r="R25" s="9" t="n"/>
      <c r="S25" s="9" t="n"/>
      <c r="T25" s="9" t="n"/>
      <c r="U25" s="9" t="n"/>
      <c r="V25" s="9" t="n"/>
      <c r="W25" s="9" t="n"/>
      <c r="X25" s="12" t="inlineStr">
        <is>
          <t>some links were dead</t>
        </is>
      </c>
    </row>
    <row r="26">
      <c r="A26" s="48" t="inlineStr">
        <is>
          <t>Buildplate</t>
        </is>
      </c>
      <c r="B26" s="48" t="inlineStr">
        <is>
          <t>yellow die springs 8x4x20mm</t>
        </is>
      </c>
      <c r="C26" s="48" t="n"/>
      <c r="D26" s="48" t="inlineStr">
        <is>
          <t>1</t>
        </is>
      </c>
      <c r="E26" s="48" t="inlineStr">
        <is>
          <t>All</t>
        </is>
      </c>
      <c r="F26" s="49">
        <f>HYPERLINK("https://s.click.aliexpress.com/e/_dUTJIFD","Aliexpress")</f>
        <v/>
      </c>
      <c r="G26" s="48" t="n"/>
      <c r="H26" s="51">
        <f>HYPERLINK("https://amzn.to/2KGsHzJ","Amazon [Affilaite Link]")</f>
        <v/>
      </c>
      <c r="I26" s="48" t="n"/>
      <c r="J26" s="48" t="n"/>
      <c r="K26" s="48" t="n"/>
      <c r="L26" s="48" t="n"/>
      <c r="M26" s="48" t="n"/>
      <c r="N26" s="48" t="n"/>
      <c r="O26" s="48" t="n"/>
      <c r="P26" s="48" t="n"/>
      <c r="Q26" s="48" t="n"/>
      <c r="R26" s="48" t="n"/>
      <c r="S26" s="48" t="n"/>
      <c r="T26" s="48" t="n"/>
      <c r="U26" s="48" t="n"/>
      <c r="V26" s="48" t="n"/>
      <c r="W26" s="48" t="n"/>
      <c r="X26" s="52" t="inlineStr">
        <is>
          <t>some links were dead</t>
        </is>
      </c>
    </row>
    <row r="27">
      <c r="A27" s="14" t="inlineStr">
        <is>
          <t>Motion</t>
        </is>
      </c>
      <c r="B27" s="14" t="inlineStr">
        <is>
          <t>GT2 Open Belt LL-2GT-6 (6mm wide)</t>
        </is>
      </c>
      <c r="C27" s="14" t="n"/>
      <c r="D27" s="14" t="inlineStr">
        <is>
          <t>6 meters</t>
        </is>
      </c>
      <c r="E27" s="14" t="inlineStr">
        <is>
          <t>All</t>
        </is>
      </c>
      <c r="F27" s="15">
        <f>HYPERLINK("https://www.aliexpress.com/item/32853559638.html","Trianglelab")</f>
        <v/>
      </c>
      <c r="G27" s="16">
        <f>HYPERLINK("https://s.click.aliexpress.com/e/_AXkck4","[Affiliate Link]")</f>
        <v/>
      </c>
      <c r="H27" s="14" t="n"/>
      <c r="I27" s="14" t="n"/>
      <c r="J27" s="14" t="n"/>
      <c r="K27" s="14" t="n"/>
      <c r="L27" s="14" t="n"/>
      <c r="M27" s="14" t="n"/>
      <c r="N27" s="14" t="n"/>
      <c r="O27" s="14" t="n"/>
      <c r="P27" s="14" t="n"/>
      <c r="Q27" s="14" t="n"/>
      <c r="R27" s="14" t="n"/>
      <c r="S27" s="14" t="n"/>
      <c r="T27" s="14" t="n"/>
      <c r="U27" s="14" t="n"/>
      <c r="V27" s="14" t="n"/>
      <c r="W27" s="17" t="inlineStr">
        <is>
          <t>GATES belts are required for every open loop belt on the machine. SDP-SI is a US gates reseller (and tested)</t>
        </is>
      </c>
      <c r="X27" s="18" t="inlineStr">
        <is>
          <t>some links were dead</t>
        </is>
      </c>
    </row>
    <row r="28">
      <c r="A28" s="14" t="inlineStr">
        <is>
          <t>Motion</t>
        </is>
      </c>
      <c r="B28" s="14" t="inlineStr">
        <is>
          <t>GT2 20T (6mm wide) Pulley (5mm bore)</t>
        </is>
      </c>
      <c r="C28" s="14" t="n"/>
      <c r="D28" s="14" t="inlineStr">
        <is>
          <t>3</t>
        </is>
      </c>
      <c r="E28" s="14" t="inlineStr">
        <is>
          <t>All</t>
        </is>
      </c>
      <c r="F28" s="15">
        <f>HYPERLINK("https://www.aliexpress.com/item/32226562320.html","POWGE")</f>
        <v/>
      </c>
      <c r="G28" s="16">
        <f>HYPERLINK("https://s.click.aliexpress.com/e/E1Y0mkUu","[Affiliate Link]")</f>
        <v/>
      </c>
      <c r="H28" s="16">
        <f>HYPERLINK("https://s.click.aliexpress.com/e/_AqN4lx","Aliexpress")</f>
        <v/>
      </c>
      <c r="I28" s="14" t="n"/>
      <c r="J28" s="16">
        <f>HYPERLINK("https://s.click.aliexpress.com/e/E1Y0mkUu","AliExpress")</f>
        <v/>
      </c>
      <c r="K28" s="14" t="n"/>
      <c r="L28" s="16">
        <f>HYPERLINK("https://s.click.aliexpress.com/e/_dYtoM9A","Aliexpress")</f>
        <v/>
      </c>
      <c r="M28" s="14" t="n"/>
      <c r="N28" s="14" t="n"/>
      <c r="O28" s="14" t="n"/>
      <c r="P28" s="14" t="n"/>
      <c r="Q28" s="14" t="n"/>
      <c r="R28" s="14" t="n"/>
      <c r="S28" s="14" t="n"/>
      <c r="T28" s="14" t="n"/>
      <c r="U28" s="14" t="n"/>
      <c r="V28" s="14" t="n"/>
      <c r="W28" s="14" t="n"/>
      <c r="X28" s="18" t="inlineStr">
        <is>
          <t>all links were dead</t>
        </is>
      </c>
    </row>
    <row r="29">
      <c r="A29" s="14" t="inlineStr">
        <is>
          <t>Motion</t>
        </is>
      </c>
      <c r="B29" s="14" t="inlineStr">
        <is>
          <t>GT2 20T (6mm wide) Toothed Idler (5mm bore)</t>
        </is>
      </c>
      <c r="C29" s="14" t="n"/>
      <c r="D29" s="14" t="inlineStr">
        <is>
          <t>2</t>
        </is>
      </c>
      <c r="E29" s="14" t="inlineStr">
        <is>
          <t>All</t>
        </is>
      </c>
      <c r="F29" s="15">
        <f>HYPERLINK("https://www.aliexpress.com/item/32726309946.html","POWGE")</f>
        <v/>
      </c>
      <c r="G29" s="16">
        <f>HYPERLINK("https://s.click.aliexpress.com/e/_dVn7qSa","[Affiliate Link]")</f>
        <v/>
      </c>
      <c r="H29" s="16">
        <f>HYPERLINK("https://www.filastruder.com/products/gates-2gt-idler","Filastruder (US) [Gates]")</f>
        <v/>
      </c>
      <c r="I29" s="14" t="n"/>
      <c r="J29" s="14" t="n"/>
      <c r="K29" s="14" t="n"/>
      <c r="L29" s="14" t="n"/>
      <c r="M29" s="14" t="n"/>
      <c r="N29" s="14" t="n"/>
      <c r="O29" s="14" t="n"/>
      <c r="P29" s="14" t="n"/>
      <c r="Q29" s="14" t="n"/>
      <c r="R29" s="14" t="n"/>
      <c r="S29" s="14" t="n"/>
      <c r="T29" s="14" t="n"/>
      <c r="U29" s="14" t="n"/>
      <c r="V29" s="14" t="n"/>
      <c r="W29" s="17" t="inlineStr">
        <is>
          <t>RD pulleys are incorrect size and are inconsistent in profile, use POWGE</t>
        </is>
      </c>
      <c r="X29" s="14" t="n"/>
    </row>
    <row r="30">
      <c r="A30" s="14" t="inlineStr">
        <is>
          <t>Motion</t>
        </is>
      </c>
      <c r="B30" s="14" t="inlineStr">
        <is>
          <t>F695 2RS Bearing</t>
        </is>
      </c>
      <c r="C30" s="14" t="n"/>
      <c r="D30" s="14" t="inlineStr">
        <is>
          <t>20</t>
        </is>
      </c>
      <c r="E30" s="14" t="inlineStr">
        <is>
          <t>All</t>
        </is>
      </c>
      <c r="F30" s="15">
        <f>HYPERLINK("https://www.aliexpress.com/item/33001186278.html","RainDew")</f>
        <v/>
      </c>
      <c r="G30" s="16">
        <f>HYPERLINK("https://s.click.aliexpress.com/e/FhQBXGmc","[Affiliate Link]")</f>
        <v/>
      </c>
      <c r="H30" s="16">
        <f>HYPERLINK("https://www.aliexpress.com/item/32850989216.html","Fushi")</f>
        <v/>
      </c>
      <c r="I30" s="16">
        <f>HYPERLINK("https://s.click.aliexpress.com/e/Mv4uHJoM","[Affiliate Link]")</f>
        <v/>
      </c>
      <c r="J30" s="16">
        <f>HYPERLINK("https://s.click.aliexpress.com/e/FhQBXGmc","AliExpress")</f>
        <v/>
      </c>
      <c r="K30" s="14" t="n"/>
      <c r="L30" s="14" t="n"/>
      <c r="M30" s="14" t="n"/>
      <c r="N30" s="14" t="n"/>
      <c r="O30" s="14" t="n"/>
      <c r="P30" s="14" t="n"/>
      <c r="Q30" s="14" t="n"/>
      <c r="R30" s="14" t="n"/>
      <c r="S30" s="14" t="n"/>
      <c r="T30" s="14" t="n"/>
      <c r="U30" s="14" t="n"/>
      <c r="V30" s="14" t="n"/>
      <c r="W30" s="14" t="n"/>
      <c r="X30" s="14" t="n"/>
    </row>
    <row r="31">
      <c r="A31" s="14" t="inlineStr">
        <is>
          <t>Motion</t>
        </is>
      </c>
      <c r="B31" s="14" t="inlineStr">
        <is>
          <t>5x30mm Shaft</t>
        </is>
      </c>
      <c r="C31" s="14" t="n"/>
      <c r="D31" s="14" t="inlineStr">
        <is>
          <t>1</t>
        </is>
      </c>
      <c r="E31" s="14" t="inlineStr">
        <is>
          <t>All</t>
        </is>
      </c>
      <c r="F31" s="15">
        <f>HYPERLINK("https://www.aliexpress.com/item/1739093502.html","linkcnc")</f>
        <v/>
      </c>
      <c r="G31" s="16">
        <f>HYPERLINK("https://s.click.aliexpress.com/e/EKBTkxNm","[Affiliate Link]")</f>
        <v/>
      </c>
      <c r="H31" s="16">
        <f>HYPERLINK("https://www.aliexpress.com/item/32769265211.html","linkcnc")</f>
        <v/>
      </c>
      <c r="I31" s="16">
        <f>HYPERLINK("https://s.click.aliexpress.com/e/_A3ZXre","[Affiliate Link]")</f>
        <v/>
      </c>
      <c r="J31" s="14" t="n"/>
      <c r="K31" s="14" t="n"/>
      <c r="L31" s="14" t="n"/>
      <c r="M31" s="14" t="n"/>
      <c r="N31" s="14" t="n"/>
      <c r="O31" s="14" t="n"/>
      <c r="P31" s="14" t="n"/>
      <c r="Q31" s="14" t="n"/>
      <c r="R31" s="14" t="n"/>
      <c r="S31" s="14" t="n"/>
      <c r="T31" s="14" t="n"/>
      <c r="U31" s="14" t="n"/>
      <c r="V31" s="14" t="n"/>
      <c r="W31" s="14" t="n"/>
      <c r="X31" s="14" t="n"/>
    </row>
    <row r="32">
      <c r="A32" s="14" t="inlineStr">
        <is>
          <t>Motion</t>
        </is>
      </c>
      <c r="B32" s="14" t="inlineStr">
        <is>
          <t>Linear Rail MGN9H ** See Configurator for length **</t>
        </is>
      </c>
      <c r="C32" s="14" t="n"/>
      <c r="D32" s="14" t="inlineStr">
        <is>
          <t>4</t>
        </is>
      </c>
      <c r="E32" s="14" t="inlineStr">
        <is>
          <t>250x250 -&gt; 300mm rails</t>
        </is>
      </c>
      <c r="F32" s="15">
        <f>HYPERLINK("https://www.aliexpress.com/item/32773296501.html","CNA")</f>
        <v/>
      </c>
      <c r="G32" s="14" t="n"/>
      <c r="H32" s="16">
        <f>HYPERLINK("https://www.robotdigg.com/product/1314/Black-anodized-linear-rail-7,-9,-12-and-15","RobotDigg (Black Stainless Rails)")</f>
        <v/>
      </c>
      <c r="I32" s="14" t="n"/>
      <c r="J32" s="16">
        <f>HYPERLINK("https://www.zyltech.com/zyltech-mgn9-linear-rail-with-single-or-double-carriage-block","Zyltech")</f>
        <v/>
      </c>
      <c r="K32" s="14" t="n"/>
      <c r="L32" s="14" t="n"/>
      <c r="M32" s="14" t="n"/>
      <c r="N32" s="14" t="n"/>
      <c r="O32" s="14" t="n"/>
      <c r="P32" s="14" t="n"/>
      <c r="Q32" s="14" t="n"/>
      <c r="R32" s="14" t="n"/>
      <c r="S32" s="14" t="n"/>
      <c r="T32" s="14" t="n"/>
      <c r="U32" s="14" t="n"/>
      <c r="V32" s="14" t="n"/>
      <c r="W32" s="17" t="inlineStr">
        <is>
          <t>If ordering CNA, specify "medium preload" in order notes. RobotDigg PN: GS_MGN9-1H-B300 / If ordering CNA, specify "medium preload" in order notes. RobotDigg PN: GS_MGN9-1H-B350</t>
        </is>
      </c>
      <c r="X32" s="14" t="n"/>
    </row>
    <row r="33">
      <c r="A33" s="14" t="inlineStr">
        <is>
          <t>Motion</t>
        </is>
      </c>
      <c r="B33" s="14" t="inlineStr">
        <is>
          <t>Linear Rail MGN9H ** See Configurator for length **</t>
        </is>
      </c>
      <c r="C33" s="14" t="n"/>
      <c r="D33" s="14" t="inlineStr">
        <is>
          <t>4</t>
        </is>
      </c>
      <c r="E33" s="14" t="inlineStr">
        <is>
          <t>300x300 -&gt; 350mm rails</t>
        </is>
      </c>
      <c r="F33" s="15">
        <f>HYPERLINK("https://www.aliexpress.com/item/32773296501.html","CNA")</f>
        <v/>
      </c>
      <c r="G33" s="14" t="n"/>
      <c r="H33" s="16">
        <f>HYPERLINK("https://www.robotdigg.com/product/1314/Black-anodized-linear-rail-7,-9,-12-and-15","RobotDigg (Black Stainless Rails)")</f>
        <v/>
      </c>
      <c r="I33" s="14" t="n"/>
      <c r="J33" s="16">
        <f>HYPERLINK("https://www.zyltech.com/zyltech-mgn9-linear-rail-with-single-or-double-carriage-block","Zyltech")</f>
        <v/>
      </c>
      <c r="K33" s="14" t="n"/>
      <c r="L33" s="14" t="n"/>
      <c r="M33" s="14" t="n"/>
      <c r="N33" s="14" t="n"/>
      <c r="O33" s="14" t="n"/>
      <c r="P33" s="14" t="n"/>
      <c r="Q33" s="14" t="n"/>
      <c r="R33" s="14" t="n"/>
      <c r="S33" s="14" t="n"/>
      <c r="T33" s="14" t="n"/>
      <c r="U33" s="14" t="n"/>
      <c r="V33" s="14" t="n"/>
      <c r="W33" s="17" t="inlineStr">
        <is>
          <t>If ordering CNA, specify "medium preload" in order notes. RobotDigg PN: GS_MGN9-1H-B300 / If ordering CNA, specify "medium preload" in order notes. RobotDigg PN: GS_MGN9-1H-B350</t>
        </is>
      </c>
      <c r="X33" s="14" t="n"/>
    </row>
    <row r="34">
      <c r="A34" s="14" t="inlineStr">
        <is>
          <t>Motion</t>
        </is>
      </c>
      <c r="B34" s="14" t="inlineStr">
        <is>
          <t>Integrated Lead Screw/Stepper Motors - 300mm, 2/4/8mm pitch</t>
        </is>
      </c>
      <c r="C34" s="14" t="n"/>
      <c r="D34" s="14" t="inlineStr">
        <is>
          <t>2</t>
        </is>
      </c>
      <c r="E34" s="14" t="inlineStr">
        <is>
          <t>All</t>
        </is>
      </c>
      <c r="F34" s="14" t="n"/>
      <c r="G34" s="14" t="n"/>
      <c r="H34" s="14" t="n"/>
      <c r="I34" s="14" t="n"/>
      <c r="J34" s="14" t="n"/>
      <c r="K34" s="14" t="n"/>
      <c r="L34" s="14" t="n"/>
      <c r="M34" s="14" t="n"/>
      <c r="N34" s="14" t="n"/>
      <c r="O34" s="14" t="n"/>
      <c r="P34" s="14" t="n"/>
      <c r="Q34" s="14" t="n"/>
      <c r="R34" s="14" t="n"/>
      <c r="S34" s="14" t="n"/>
      <c r="T34" s="14" t="n"/>
      <c r="U34" s="14" t="n"/>
      <c r="V34" s="14" t="n"/>
      <c r="W34" s="17" t="inlineStr">
        <is>
          <t>You can chose whichever pitch you want--8mm or 4mm may be best</t>
        </is>
      </c>
      <c r="X34" s="18" t="inlineStr">
        <is>
          <t>all links were dead</t>
        </is>
      </c>
    </row>
    <row r="35">
      <c r="A35" s="14" t="inlineStr">
        <is>
          <t>Motion</t>
        </is>
      </c>
      <c r="B35" s="14" t="inlineStr">
        <is>
          <t>Linear Rods - 8mm, 320mm Long (for 230mm Z)</t>
        </is>
      </c>
      <c r="C35" s="14" t="n"/>
      <c r="D35" s="14" t="inlineStr">
        <is>
          <t>4</t>
        </is>
      </c>
      <c r="E35" s="14" t="inlineStr">
        <is>
          <t>All</t>
        </is>
      </c>
      <c r="F35" s="15">
        <f>HYPERLINK("https://www.aliexpress.com/item/32676553191.html","Aliexpress (CNA)")</f>
        <v/>
      </c>
      <c r="G35" s="14" t="n"/>
      <c r="H35" s="14" t="n"/>
      <c r="I35" s="14" t="n"/>
      <c r="J35" s="14" t="n"/>
      <c r="K35" s="14" t="n"/>
      <c r="L35" s="14" t="n"/>
      <c r="M35" s="14" t="n"/>
      <c r="N35" s="14" t="n"/>
      <c r="O35" s="14" t="n"/>
      <c r="P35" s="14" t="n"/>
      <c r="Q35" s="14" t="n"/>
      <c r="R35" s="14" t="n"/>
      <c r="S35" s="14" t="n"/>
      <c r="T35" s="14" t="n"/>
      <c r="U35" s="14" t="n"/>
      <c r="V35" s="14" t="n"/>
      <c r="W35" s="17" t="inlineStr">
        <is>
          <t>These are only for new builds--users who want to keep their existing V1.6 320mm 8mm rods can do so, but with shorter Z travel</t>
        </is>
      </c>
      <c r="X35" s="14" t="n"/>
    </row>
    <row r="36">
      <c r="A36" s="14" t="inlineStr">
        <is>
          <t>Motion</t>
        </is>
      </c>
      <c r="B36" s="14" t="inlineStr">
        <is>
          <t>Linear Bearings - LM8LUU</t>
        </is>
      </c>
      <c r="C36" s="14" t="n"/>
      <c r="D36" s="14" t="inlineStr">
        <is>
          <t>4</t>
        </is>
      </c>
      <c r="E36" s="14" t="inlineStr">
        <is>
          <t>All</t>
        </is>
      </c>
      <c r="F36" s="15">
        <f>HYPERLINK("https://www.aliexpress.com/item/32261426948.html","Aliexpress (CNA)")</f>
        <v/>
      </c>
      <c r="G36" s="14" t="n"/>
      <c r="H36" s="14" t="n"/>
      <c r="I36" s="14" t="n"/>
      <c r="J36" s="14" t="n"/>
      <c r="K36" s="14" t="n"/>
      <c r="L36" s="14" t="n"/>
      <c r="M36" s="14" t="n"/>
      <c r="N36" s="14" t="n"/>
      <c r="O36" s="14" t="n"/>
      <c r="P36" s="14" t="n"/>
      <c r="Q36" s="14" t="n"/>
      <c r="R36" s="14" t="n"/>
      <c r="S36" s="14" t="n"/>
      <c r="T36" s="14" t="n"/>
      <c r="U36" s="14" t="n"/>
      <c r="V36" s="14" t="n"/>
      <c r="W36" s="14" t="n"/>
      <c r="X36" s="14" t="n"/>
    </row>
    <row r="37">
      <c r="A37" s="19" t="inlineStr">
        <is>
          <t>Extruder</t>
        </is>
      </c>
      <c r="B37" s="19" t="inlineStr">
        <is>
          <t>Complete BMG Extruder Clone</t>
        </is>
      </c>
      <c r="C37" s="19" t="n"/>
      <c r="D37" s="19" t="inlineStr">
        <is>
          <t>1</t>
        </is>
      </c>
      <c r="E37" s="19" t="inlineStr">
        <is>
          <t>All</t>
        </is>
      </c>
      <c r="F37" s="20">
        <f>HYPERLINK("https://www.bondtech.se/en/product/drivegear-kits","Bondtech")</f>
        <v/>
      </c>
      <c r="G37" s="19" t="n"/>
      <c r="H37" s="21">
        <f>HYPERLINK("https://www.filastruder.com/collections/bondtech/products/drivegear-kit","Filastruder")</f>
        <v/>
      </c>
      <c r="I37" s="19" t="n"/>
      <c r="J37" s="21">
        <f>HYPERLINK("https://s.click.aliexpress.com/e/_dY14nbA","Aliexpress (TL)")</f>
        <v/>
      </c>
      <c r="K37" s="19" t="n"/>
      <c r="L37" s="21">
        <f>HYPERLINK("https://www.aliexpress.com/item/32907327548.html","TriangleLab")</f>
        <v/>
      </c>
      <c r="M37" s="21">
        <f>HYPERLINK("https://s.click.aliexpress.com/e/5dL9AJgU","[Affiliate Link]")</f>
        <v/>
      </c>
      <c r="N37" s="21">
        <f>HYPERLINK("https://s.click.aliexpress.com/e/_AU7ik2","Aliexpress (TL)")</f>
        <v/>
      </c>
      <c r="O37" s="19" t="n"/>
      <c r="P37" s="21">
        <f>HYPERLINK("https://www.aliexpress.com/item/4000021186440.html","Aliexpress (TL)")</f>
        <v/>
      </c>
      <c r="Q37" s="21">
        <f>HYPERLINK("https://s.click.aliexpress.com/e/_Alji4k","[Affiliate Link]")</f>
        <v/>
      </c>
      <c r="R37" s="21">
        <f>HYPERLINK("https://www.aliexpress.com/item/2255799834871688.html","Aliexpress (TriangleLabs)")</f>
        <v/>
      </c>
      <c r="S37" s="21">
        <f>HYPERLINK("https://s.click.aliexpress.com/e/_dS7fWDW","TriangleLabs")</f>
        <v/>
      </c>
      <c r="T37" s="21">
        <f>HYPERLINK("https://www.aliexpress.com/item/32947193804.html","TriangleLabs")</f>
        <v/>
      </c>
      <c r="U37" s="21">
        <f>HYPERLINK("https://www.filastruder.com/products/bondtech-bmg-internals-set?_pos=1&amp;_sid=8f05bd81a&amp;_ss=r","Filastruder")</f>
        <v/>
      </c>
      <c r="V37" s="21">
        <f>HYPERLINK("https://www.printedsolid.com/products/bondtech-bmg-extruder","Printed Solid")</f>
        <v/>
      </c>
      <c r="W37" s="19" t="n"/>
      <c r="X37" s="23" t="inlineStr">
        <is>
          <t>all links were dead</t>
        </is>
      </c>
    </row>
    <row r="38">
      <c r="A38" s="19" t="inlineStr">
        <is>
          <t>Vibration Management</t>
        </is>
      </c>
      <c r="B38" s="19" t="inlineStr">
        <is>
          <t>Rubber Compressor Foot</t>
        </is>
      </c>
      <c r="C38" s="19" t="n"/>
      <c r="D38" s="19" t="inlineStr">
        <is>
          <t>4</t>
        </is>
      </c>
      <c r="E38" s="19" t="inlineStr">
        <is>
          <t>All</t>
        </is>
      </c>
      <c r="F38" s="20">
        <f>HYPERLINK("https://www.amazon.com/dp/B0711Y6T56","Amazon")</f>
        <v/>
      </c>
      <c r="G38" s="21">
        <f>HYPERLINK("https://amzn.to/2TqJkWS","[Affiliate Link]")</f>
        <v/>
      </c>
      <c r="H38" s="21">
        <f>HYPERLINK("https://www.aliexpress.com/item/32990144547.html","AliExpress")</f>
        <v/>
      </c>
      <c r="I38" s="21">
        <f>HYPERLINK("https://s.click.aliexpress.com/e/_d78yoQO","[Affiliate Link]")</f>
        <v/>
      </c>
      <c r="J38" s="19" t="n"/>
      <c r="K38" s="19" t="n"/>
      <c r="L38" s="19" t="n"/>
      <c r="M38" s="19" t="n"/>
      <c r="N38" s="19" t="n"/>
      <c r="O38" s="19" t="n"/>
      <c r="P38" s="19" t="n"/>
      <c r="Q38" s="19" t="n"/>
      <c r="R38" s="19" t="n"/>
      <c r="S38" s="19" t="n"/>
      <c r="T38" s="19" t="n"/>
      <c r="U38" s="19" t="n"/>
      <c r="V38" s="19" t="n"/>
      <c r="W38" s="22" t="inlineStr">
        <is>
          <t>Comes and goes in stock from Amazon</t>
        </is>
      </c>
      <c r="X38" s="23" t="inlineStr">
        <is>
          <t>some links were dead</t>
        </is>
      </c>
    </row>
    <row r="39">
      <c r="A39" s="24" t="inlineStr">
        <is>
          <t>Electronics</t>
        </is>
      </c>
      <c r="B39" s="24" t="inlineStr">
        <is>
          <t>Omron Mouse Button - Micro Switch</t>
        </is>
      </c>
      <c r="C39" s="24" t="n"/>
      <c r="D39" s="24" t="inlineStr">
        <is>
          <t>3</t>
        </is>
      </c>
      <c r="E39" s="24" t="inlineStr">
        <is>
          <t>All</t>
        </is>
      </c>
      <c r="F39" s="25">
        <f>HYPERLINK("https://www.digikey.com/product-detail/en/omron-electronics-inc-emc-div/D2F-5L/Z8846-ND/8593137","Digikey")</f>
        <v/>
      </c>
      <c r="G39" s="24" t="n"/>
      <c r="H39" s="26">
        <f>HYPERLINK("https://www.digikey.com/en/products/detail/omron-electronics-inc-emc-div/D2F-01L/83264","Digikey")</f>
        <v/>
      </c>
      <c r="I39" s="24" t="n"/>
      <c r="J39" s="26">
        <f>HYPERLINK("https://www.digikey.com/product-detail/en/omron-electronics-inc-emc-div/D2F-5/Z8845-ND/8593136","Digikey")</f>
        <v/>
      </c>
      <c r="K39" s="24" t="n"/>
      <c r="L39" s="24" t="n"/>
      <c r="M39" s="24" t="n"/>
      <c r="N39" s="24" t="n"/>
      <c r="O39" s="24" t="n"/>
      <c r="P39" s="24" t="n"/>
      <c r="Q39" s="24" t="n"/>
      <c r="R39" s="24" t="n"/>
      <c r="S39" s="24" t="n"/>
      <c r="T39" s="24" t="n"/>
      <c r="U39" s="24" t="n"/>
      <c r="V39" s="24" t="n"/>
      <c r="W39" s="24" t="n"/>
      <c r="X39" s="24" t="n"/>
    </row>
    <row r="40">
      <c r="A40" s="24" t="inlineStr">
        <is>
          <t>Electronics</t>
        </is>
      </c>
      <c r="B40" s="24" t="inlineStr">
        <is>
          <t>PL-08N Inductive Probe</t>
        </is>
      </c>
      <c r="C40" s="24" t="n"/>
      <c r="D40" s="24" t="inlineStr">
        <is>
          <t>1</t>
        </is>
      </c>
      <c r="E40" s="24" t="inlineStr">
        <is>
          <t>All</t>
        </is>
      </c>
      <c r="F40" s="24" t="n"/>
      <c r="G40" s="24" t="n"/>
      <c r="H40" s="24" t="n"/>
      <c r="I40" s="24" t="n"/>
      <c r="J40" s="24" t="n"/>
      <c r="K40" s="24" t="n"/>
      <c r="L40" s="24" t="n"/>
      <c r="M40" s="24" t="n"/>
      <c r="N40" s="24" t="n"/>
      <c r="O40" s="24" t="n"/>
      <c r="P40" s="24" t="n"/>
      <c r="Q40" s="24" t="n"/>
      <c r="R40" s="24" t="n"/>
      <c r="S40" s="24" t="n"/>
      <c r="T40" s="24" t="n"/>
      <c r="U40" s="24" t="n"/>
      <c r="V40" s="24" t="n"/>
      <c r="W40" s="24" t="n"/>
      <c r="X40" s="28" t="inlineStr">
        <is>
          <t>all links were dead</t>
        </is>
      </c>
    </row>
    <row r="41">
      <c r="A41" s="24" t="inlineStr">
        <is>
          <t>Electronics</t>
        </is>
      </c>
      <c r="B41" s="24" t="inlineStr">
        <is>
          <t>BAT85 Diode</t>
        </is>
      </c>
      <c r="C41" s="24" t="n"/>
      <c r="D41" s="24" t="inlineStr">
        <is>
          <t>1</t>
        </is>
      </c>
      <c r="E41" s="24" t="inlineStr">
        <is>
          <t>All</t>
        </is>
      </c>
      <c r="F41" s="25">
        <f>HYPERLINK("https://www.digikey.com/product-detail/en/BAT85S-TR/BAT85SCT-ND/3104371","DigiKey")</f>
        <v/>
      </c>
      <c r="G41" s="24" t="n"/>
      <c r="H41" s="24" t="n"/>
      <c r="I41" s="24" t="n"/>
      <c r="J41" s="24" t="n"/>
      <c r="K41" s="24" t="n"/>
      <c r="L41" s="24" t="n"/>
      <c r="M41" s="24" t="n"/>
      <c r="N41" s="24" t="n"/>
      <c r="O41" s="24" t="n"/>
      <c r="P41" s="24" t="n"/>
      <c r="Q41" s="24" t="n"/>
      <c r="R41" s="24" t="n"/>
      <c r="S41" s="24" t="n"/>
      <c r="T41" s="24" t="n"/>
      <c r="U41" s="24" t="n"/>
      <c r="V41" s="24" t="n"/>
      <c r="W41" s="27" t="inlineStr">
        <is>
          <t>You do not want to get this part from an Ali vendor as quality can be suspect. If these sources are not available in your area, please ask in a regional channel on Discord or search a local electronics store.</t>
        </is>
      </c>
      <c r="X41" s="24" t="n"/>
    </row>
    <row r="42">
      <c r="A42" s="24" t="inlineStr">
        <is>
          <t>Electronics</t>
        </is>
      </c>
      <c r="B42" s="24" t="inlineStr">
        <is>
          <t>Omron G3NA-210B-DC5 (10A) or Crydom D2425 (25A) or Crydom 84134000 (10A) SSR</t>
        </is>
      </c>
      <c r="C42" s="24" t="n"/>
      <c r="D42" s="24" t="inlineStr">
        <is>
          <t>1</t>
        </is>
      </c>
      <c r="E42" s="24" t="inlineStr">
        <is>
          <t>All</t>
        </is>
      </c>
      <c r="F42" s="25">
        <f>HYPERLINK("https://www.digikey.com/en/products/detail/omron-automation-and-safety/G3NA-210B-UTU-DC5-24/634443","Digikey (Omron)")</f>
        <v/>
      </c>
      <c r="G42" s="24" t="n"/>
      <c r="H42" s="26">
        <f>HYPERLINK("https://www.digikey.com/products/en","Digikey (Omron)")</f>
        <v/>
      </c>
      <c r="I42" s="24" t="n"/>
      <c r="J42" s="26">
        <f>HYPERLINK("https://www.digikey.com/en/products/detail/panasonic-electric-works/AQA211VL/2364682","Digikey (Panasonic)")</f>
        <v/>
      </c>
      <c r="K42" s="24" t="n"/>
      <c r="L42" s="26">
        <f>HYPERLINK("https://www.digikey.com/product-detail/en/sensata-crydom/D2425/CC1006-ND/139477","Digikey (Crydom 25A)")</f>
        <v/>
      </c>
      <c r="M42" s="24" t="n"/>
      <c r="N42" s="26">
        <f>HYPERLINK("https://www.digikey.com/product-detail/en/sensata-crydom/84134000/646-1227-ND/1816787","Digikey (Crydom 10A)")</f>
        <v/>
      </c>
      <c r="O42" s="24" t="n"/>
      <c r="P42" s="26">
        <f>HYPERLINK("https://www.filastruder.com/products/solid-state-relay?_pos=1&amp;_sid=f58b74679&amp;_ss=r","Filastruder (Panasonic)")</f>
        <v/>
      </c>
      <c r="Q42" s="24" t="n"/>
      <c r="R42" s="24" t="n"/>
      <c r="S42" s="24" t="n"/>
      <c r="T42" s="24" t="n"/>
      <c r="U42" s="24" t="n"/>
      <c r="V42" s="24" t="n"/>
      <c r="W42" s="27" t="inlineStr">
        <is>
          <t>Crydom (2nd Link, also valid alternative), UTU PN just adds TUV support as a certification to the relay (Omron Only)</t>
        </is>
      </c>
      <c r="X42" s="24" t="n"/>
    </row>
    <row r="43">
      <c r="A43" s="24" t="inlineStr">
        <is>
          <t>Electronics</t>
        </is>
      </c>
      <c r="B43" s="24" t="inlineStr">
        <is>
          <t>SSR DIN Mount</t>
        </is>
      </c>
      <c r="C43" s="24" t="n"/>
      <c r="D43" s="24" t="inlineStr">
        <is>
          <t>1</t>
        </is>
      </c>
      <c r="E43" s="24" t="inlineStr">
        <is>
          <t>All</t>
        </is>
      </c>
      <c r="F43" s="25">
        <f>HYPERLINK("https://www.aliexpress.com/item/32971006524.html","Aliexpress")</f>
        <v/>
      </c>
      <c r="G43" s="26">
        <f>HYPERLINK("https://s.click.aliexpress.com/e/_AOUGIu","[Affiliate Link]")</f>
        <v/>
      </c>
      <c r="H43" s="24" t="n"/>
      <c r="I43" s="24" t="n"/>
      <c r="J43" s="24" t="n"/>
      <c r="K43" s="24" t="n"/>
      <c r="L43" s="24" t="n"/>
      <c r="M43" s="24" t="n"/>
      <c r="N43" s="24" t="n"/>
      <c r="O43" s="24" t="n"/>
      <c r="P43" s="24" t="n"/>
      <c r="Q43" s="24" t="n"/>
      <c r="R43" s="24" t="n"/>
      <c r="S43" s="24" t="n"/>
      <c r="T43" s="24" t="n"/>
      <c r="U43" s="24" t="n"/>
      <c r="V43" s="24" t="n"/>
      <c r="W43" s="24" t="n"/>
      <c r="X43" s="24" t="n"/>
    </row>
    <row r="44">
      <c r="A44" s="24" t="inlineStr">
        <is>
          <t>Electronics</t>
        </is>
      </c>
      <c r="B44" s="24" t="inlineStr">
        <is>
          <t>NEMA17 Motor 17HS19-2004S</t>
        </is>
      </c>
      <c r="C44" s="24" t="n"/>
      <c r="D44" s="24" t="inlineStr">
        <is>
          <t>2</t>
        </is>
      </c>
      <c r="E44" s="24" t="inlineStr">
        <is>
          <t>All</t>
        </is>
      </c>
      <c r="F44" s="25">
        <f>HYPERLINK("https://www.omc-stepperonline.com/nema-17-bipolar-59ncm-84oz-in-2a-42x48mm-4-wires-w-1m-cable-and-connector.html","Stepper Online")</f>
        <v/>
      </c>
      <c r="G44" s="24" t="n"/>
      <c r="H44" s="26">
        <f>HYPERLINK("https://www.omc-stepperonline.com/nema-17-bipolare-59ncm-84oz-in-2a-42x48mm-4fili-w-1m-cable-and-connector.html","Stepper Online")</f>
        <v/>
      </c>
      <c r="I44" s="24" t="n"/>
      <c r="J44" s="26">
        <f>HYPERLINK("https://www.aliexpress.com/item/32589488227.html","Stepper Online")</f>
        <v/>
      </c>
      <c r="K44" s="26">
        <f>HYPERLINK("https://s.click.aliexpress.com/e/5E5huNIu","[Affiliate Link]")</f>
        <v/>
      </c>
      <c r="L44" s="26">
        <f>HYPERLINK("https://www.amazon.com/dp/B00PNEQKC0","Amazon")</f>
        <v/>
      </c>
      <c r="M44" s="26">
        <f>HYPERLINK("https://amzn.to/325amWA","[Affiliate Link]")</f>
        <v/>
      </c>
      <c r="N44" s="26">
        <f>HYPERLINK("https://www.aliexpress.com/item/32572890101.html","Stepper Online")</f>
        <v/>
      </c>
      <c r="O44" s="26">
        <f>HYPERLINK("https://s.click.aliexpress.com/e/_9J8aJa","[Affiliate Link]")</f>
        <v/>
      </c>
      <c r="P44" s="26">
        <f>HYPERLINK("https://docs.ldomotors.com/en/voron/LDO_Voron_Distributors","LDO")</f>
        <v/>
      </c>
      <c r="Q44" s="24" t="n"/>
      <c r="R44" s="24" t="n"/>
      <c r="S44" s="24" t="n"/>
      <c r="T44" s="24" t="n"/>
      <c r="U44" s="24" t="n"/>
      <c r="V44" s="24" t="n"/>
      <c r="W44" s="27" t="inlineStr">
        <is>
          <t>Strongly advise buying the specific steppers to reduce the chance of underperformance</t>
        </is>
      </c>
      <c r="X44" s="24" t="n"/>
    </row>
    <row r="45">
      <c r="A45" s="24" t="inlineStr">
        <is>
          <t>Electronics</t>
        </is>
      </c>
      <c r="B45" s="24" t="inlineStr">
        <is>
          <t>NEMA17 Motor 17HS08-1004S</t>
        </is>
      </c>
      <c r="C45" s="24" t="n"/>
      <c r="D45" s="24" t="inlineStr">
        <is>
          <t>1</t>
        </is>
      </c>
      <c r="E45" s="24" t="inlineStr">
        <is>
          <t>All</t>
        </is>
      </c>
      <c r="F45" s="25">
        <f>HYPERLINK("https://www.aliexpress.com/item/32585429251.html","Aliexpress")</f>
        <v/>
      </c>
      <c r="G45" s="26">
        <f>HYPERLINK("https://s.click.aliexpress.com/e/_9RQa9O","[Affiliate Link]")</f>
        <v/>
      </c>
      <c r="H45" s="26">
        <f>HYPERLINK("https://www.omc-stepperonline.com/nema-17-stepper-motor/nema-17-bipolar-1-8deg-16ncm-22-6oz-in-1a-3-7v-42x42x20mm-4-wires.html","Stepper Online")</f>
        <v/>
      </c>
      <c r="I45" s="24" t="n"/>
      <c r="J45" s="26">
        <f>HYPERLINK("https://www.omc-stepperonline.com/nema-17-bipolar-1-8deg-16ncm-22-6oz-in-1a-3-7v-42x42x20mm-4-wires.html","Stepper Online")</f>
        <v/>
      </c>
      <c r="K45" s="24" t="n"/>
      <c r="L45" s="26">
        <f>HYPERLINK("https://docs.ldomotors.com/en/voron/LDO_Voron_Distributors","LDO")</f>
        <v/>
      </c>
      <c r="M45" s="24" t="n"/>
      <c r="N45" s="24" t="n"/>
      <c r="O45" s="24" t="n"/>
      <c r="P45" s="24" t="n"/>
      <c r="Q45" s="24" t="n"/>
      <c r="R45" s="24" t="n"/>
      <c r="S45" s="24" t="n"/>
      <c r="T45" s="24" t="n"/>
      <c r="U45" s="24" t="n"/>
      <c r="V45" s="24" t="n"/>
      <c r="W45" s="24" t="n"/>
      <c r="X45" s="24" t="n"/>
    </row>
    <row r="46">
      <c r="A46" s="24" t="inlineStr">
        <is>
          <t>Electronics</t>
        </is>
      </c>
      <c r="B46" s="24" t="inlineStr">
        <is>
          <t>Mean Well LRS-200-24 PSU</t>
        </is>
      </c>
      <c r="C46" s="24" t="n"/>
      <c r="D46" s="24" t="inlineStr">
        <is>
          <t>1</t>
        </is>
      </c>
      <c r="E46" s="24" t="inlineStr">
        <is>
          <t>All</t>
        </is>
      </c>
      <c r="F46" s="25">
        <f>HYPERLINK("https://www.digikey.com/products/en","Digikey")</f>
        <v/>
      </c>
      <c r="G46" s="24" t="n"/>
      <c r="H46" s="24" t="n"/>
      <c r="I46" s="24" t="n"/>
      <c r="J46" s="24" t="n"/>
      <c r="K46" s="24" t="n"/>
      <c r="L46" s="24" t="n"/>
      <c r="M46" s="24" t="n"/>
      <c r="N46" s="24" t="n"/>
      <c r="O46" s="24" t="n"/>
      <c r="P46" s="24" t="n"/>
      <c r="Q46" s="24" t="n"/>
      <c r="R46" s="24" t="n"/>
      <c r="S46" s="24" t="n"/>
      <c r="T46" s="24" t="n"/>
      <c r="U46" s="24" t="n"/>
      <c r="V46" s="24" t="n"/>
      <c r="W46" s="27" t="inlineStr">
        <is>
          <t>Do not cheap out on this. Get a legitmate MeanWell PSU. Higher wattage is not necessary since the bed is mains powered. Higher wattage also comes with a fan which adds to the noise.</t>
        </is>
      </c>
      <c r="X46" s="24" t="n"/>
    </row>
    <row r="47">
      <c r="A47" s="24" t="inlineStr">
        <is>
          <t>Electronics</t>
        </is>
      </c>
      <c r="B47" s="24" t="inlineStr">
        <is>
          <t>TBC-09 Terminal Cover (optional, for LRS-200-24)</t>
        </is>
      </c>
      <c r="C47" s="24" t="n"/>
      <c r="D47" s="24" t="inlineStr">
        <is>
          <t>1</t>
        </is>
      </c>
      <c r="E47" s="24" t="inlineStr">
        <is>
          <t>All</t>
        </is>
      </c>
      <c r="F47" s="25">
        <f>HYPERLINK("https://www.digikey.com/products/en","Digikey")</f>
        <v/>
      </c>
      <c r="G47" s="24" t="n"/>
      <c r="H47" s="24" t="n"/>
      <c r="I47" s="24" t="n"/>
      <c r="J47" s="24" t="n"/>
      <c r="K47" s="24" t="n"/>
      <c r="L47" s="24" t="n"/>
      <c r="M47" s="24" t="n"/>
      <c r="N47" s="24" t="n"/>
      <c r="O47" s="24" t="n"/>
      <c r="P47" s="24" t="n"/>
      <c r="Q47" s="24" t="n"/>
      <c r="R47" s="24" t="n"/>
      <c r="S47" s="24" t="n"/>
      <c r="T47" s="24" t="n"/>
      <c r="U47" s="24" t="n"/>
      <c r="V47" s="24" t="n"/>
      <c r="W47" s="24" t="n"/>
      <c r="X47" s="24" t="n"/>
    </row>
    <row r="48">
      <c r="A48" s="24" t="inlineStr">
        <is>
          <t>Electronics</t>
        </is>
      </c>
      <c r="B48" s="24" t="inlineStr">
        <is>
          <t>Meanwell RS-25-5 PSU</t>
        </is>
      </c>
      <c r="C48" s="24" t="n"/>
      <c r="D48" s="24" t="inlineStr">
        <is>
          <t>1</t>
        </is>
      </c>
      <c r="E48" s="24" t="inlineStr">
        <is>
          <t>All</t>
        </is>
      </c>
      <c r="F48" s="25">
        <f>HYPERLINK("https://www.digikey.com/product-detail/en/mean-well-usa-inc/RS-25-5/1866-4145-ND/7706180","Digikey")</f>
        <v/>
      </c>
      <c r="G48" s="24" t="n"/>
      <c r="H48" s="24" t="n"/>
      <c r="I48" s="24" t="n"/>
      <c r="J48" s="24" t="n"/>
      <c r="K48" s="24" t="n"/>
      <c r="L48" s="24" t="n"/>
      <c r="M48" s="24" t="n"/>
      <c r="N48" s="24" t="n"/>
      <c r="O48" s="24" t="n"/>
      <c r="P48" s="24" t="n"/>
      <c r="Q48" s="24" t="n"/>
      <c r="R48" s="24" t="n"/>
      <c r="S48" s="24" t="n"/>
      <c r="T48" s="24" t="n"/>
      <c r="U48" s="24" t="n"/>
      <c r="V48" s="24" t="n"/>
      <c r="W48" s="27" t="inlineStr">
        <is>
          <t>Do not cheap out on this. Get a legitmate MeanWell PSU.</t>
        </is>
      </c>
      <c r="X48" s="24" t="n"/>
    </row>
    <row r="49">
      <c r="A49" s="24" t="inlineStr">
        <is>
          <t>Electronics</t>
        </is>
      </c>
      <c r="B49" s="24" t="inlineStr">
        <is>
          <t>ZF - Rocker Switches DPST 16A ON-OFF</t>
        </is>
      </c>
      <c r="C49" s="24" t="n"/>
      <c r="D49" s="24" t="inlineStr">
        <is>
          <t>1</t>
        </is>
      </c>
      <c r="E49" s="24" t="inlineStr">
        <is>
          <t>All</t>
        </is>
      </c>
      <c r="F49" s="25">
        <f>HYPERLINK("https://www.digikey.com/products/en","Digikey (no Light)")</f>
        <v/>
      </c>
      <c r="G49" s="24" t="n"/>
      <c r="H49" s="26">
        <f>HYPERLINK("https://www.mouser.com/ProductDetail/ZF/WRG32F2BBRLN?qs=%2Fha2pyFadugTPgk3aI89ZNgIRYXUDJ2iew%252BR%252BPzJE%2FSagvnd6sid0w%3D%3D","Mouser (Red Light)")</f>
        <v/>
      </c>
      <c r="I49" s="24" t="n"/>
      <c r="J49" s="24" t="n"/>
      <c r="K49" s="24" t="n"/>
      <c r="L49" s="24" t="n"/>
      <c r="M49" s="24" t="n"/>
      <c r="N49" s="24" t="n"/>
      <c r="O49" s="24" t="n"/>
      <c r="P49" s="24" t="n"/>
      <c r="Q49" s="24" t="n"/>
      <c r="R49" s="24" t="n"/>
      <c r="S49" s="24" t="n"/>
      <c r="T49" s="24" t="n"/>
      <c r="U49" s="24" t="n"/>
      <c r="V49" s="24" t="n"/>
      <c r="W49" s="27" t="inlineStr">
        <is>
          <t>Note the Mouser (Red Light) only has a 125v indicator in it. For 220/240 countries use the no light model</t>
        </is>
      </c>
      <c r="X49" s="24" t="n"/>
    </row>
    <row r="50">
      <c r="A50" s="24" t="inlineStr">
        <is>
          <t>Electronics</t>
        </is>
      </c>
      <c r="B50" s="24" t="inlineStr">
        <is>
          <t>Fuse Medium Time Delay Acting 8A 250V Holder Cartridge 5 X 20mm Glass</t>
        </is>
      </c>
      <c r="C50" s="24" t="n"/>
      <c r="D50" s="24" t="inlineStr">
        <is>
          <t>2</t>
        </is>
      </c>
      <c r="E50" s="24" t="inlineStr">
        <is>
          <t>All</t>
        </is>
      </c>
      <c r="F50" s="25">
        <f>HYPERLINK("https://www.digikey.com/products/en","Digikey")</f>
        <v/>
      </c>
      <c r="G50" s="24" t="n"/>
      <c r="H50" s="24" t="n"/>
      <c r="I50" s="24" t="n"/>
      <c r="J50" s="24" t="n"/>
      <c r="K50" s="24" t="n"/>
      <c r="L50" s="24" t="n"/>
      <c r="M50" s="24" t="n"/>
      <c r="N50" s="24" t="n"/>
      <c r="O50" s="24" t="n"/>
      <c r="P50" s="24" t="n"/>
      <c r="Q50" s="24" t="n"/>
      <c r="R50" s="24" t="n"/>
      <c r="S50" s="24" t="n"/>
      <c r="T50" s="24" t="n"/>
      <c r="U50" s="24" t="n"/>
      <c r="V50" s="24" t="n"/>
      <c r="W50" s="24" t="n"/>
      <c r="X50" s="24" t="n"/>
    </row>
    <row r="51">
      <c r="A51" s="24" t="inlineStr">
        <is>
          <t>Electronics</t>
        </is>
      </c>
      <c r="B51" s="24" t="inlineStr">
        <is>
          <t>TycoElectronics - 10EGG1-2 (Normal) or 10EHG1-2 (Medical): Filtered Power Inlet</t>
        </is>
      </c>
      <c r="C51" s="24" t="n"/>
      <c r="D51" s="24" t="inlineStr">
        <is>
          <t>1</t>
        </is>
      </c>
      <c r="E51" s="24" t="inlineStr">
        <is>
          <t>All</t>
        </is>
      </c>
      <c r="F51" s="25">
        <f>HYPERLINK("https://www.digikey.com/products/en","Digikey")</f>
        <v/>
      </c>
      <c r="G51" s="24" t="n"/>
      <c r="H51" s="26">
        <f>HYPERLINK("https://www.mouser.com/ProductDetail/TE-Connectivity-PB/10EGG1-2?qs=vcjNRp8H9z2nhEkRL4AXYw%3D%3D","Mouser")</f>
        <v/>
      </c>
      <c r="I51" s="24" t="n"/>
      <c r="J51" s="24" t="n"/>
      <c r="K51" s="24" t="n"/>
      <c r="L51" s="24" t="n"/>
      <c r="M51" s="24" t="n"/>
      <c r="N51" s="24" t="n"/>
      <c r="O51" s="24" t="n"/>
      <c r="P51" s="24" t="n"/>
      <c r="Q51" s="24" t="n"/>
      <c r="R51" s="24" t="n"/>
      <c r="S51" s="24" t="n"/>
      <c r="T51" s="24" t="n"/>
      <c r="U51" s="24" t="n"/>
      <c r="V51" s="24" t="n"/>
      <c r="W51" s="24" t="n"/>
      <c r="X51" s="24" t="n"/>
    </row>
    <row r="52">
      <c r="A52" s="24" t="inlineStr">
        <is>
          <t>Electronics</t>
        </is>
      </c>
      <c r="B52" s="24" t="inlineStr">
        <is>
          <t>C13 Power Cord</t>
        </is>
      </c>
      <c r="C52" s="24" t="n"/>
      <c r="D52" s="24" t="inlineStr">
        <is>
          <t>1</t>
        </is>
      </c>
      <c r="E52" s="24" t="inlineStr">
        <is>
          <t>All</t>
        </is>
      </c>
      <c r="F52" s="25">
        <f>HYPERLINK("https://www.amazon.com/dp/B072LNKHBB","Amazon")</f>
        <v/>
      </c>
      <c r="G52" s="24" t="n"/>
      <c r="H52" s="24" t="n"/>
      <c r="I52" s="24" t="n"/>
      <c r="J52" s="24" t="n"/>
      <c r="K52" s="24" t="n"/>
      <c r="L52" s="24" t="n"/>
      <c r="M52" s="24" t="n"/>
      <c r="N52" s="24" t="n"/>
      <c r="O52" s="24" t="n"/>
      <c r="P52" s="24" t="n"/>
      <c r="Q52" s="24" t="n"/>
      <c r="R52" s="24" t="n"/>
      <c r="S52" s="24" t="n"/>
      <c r="T52" s="24" t="n"/>
      <c r="U52" s="24" t="n"/>
      <c r="V52" s="24" t="n"/>
      <c r="W52" s="24" t="n"/>
      <c r="X52" s="24" t="n"/>
    </row>
    <row r="53">
      <c r="A53" s="24" t="inlineStr">
        <is>
          <t>Electronics</t>
        </is>
      </c>
      <c r="B53" s="24" t="inlineStr">
        <is>
          <t>E3D V6 Bowden Hotend Kit (24V)</t>
        </is>
      </c>
      <c r="C53" s="24" t="n"/>
      <c r="D53" s="24" t="inlineStr">
        <is>
          <t>1</t>
        </is>
      </c>
      <c r="E53" s="24" t="inlineStr">
        <is>
          <t>All</t>
        </is>
      </c>
      <c r="F53" s="25">
        <f>HYPERLINK("https://www.aliexpress.com/item/32844028127.html","Trianglelab")</f>
        <v/>
      </c>
      <c r="G53" s="26">
        <f>HYPERLINK("https://s.click.aliexpress.com/e/_A3iL6c","[Affiliate Link]")</f>
        <v/>
      </c>
      <c r="H53" s="26">
        <f>HYPERLINK("https://www.filastruder.com/products/all-metal-e3d-v6-hotend","Filastruder")</f>
        <v/>
      </c>
      <c r="I53" s="24" t="n"/>
      <c r="J53" s="26">
        <f>HYPERLINK("https://www.printedsolid.com/products/e3d-hot-end-kit-v6?variant=22124184600661","Printed Solid")</f>
        <v/>
      </c>
      <c r="K53" s="24" t="n"/>
      <c r="L53" s="24" t="n"/>
      <c r="M53" s="24" t="n"/>
      <c r="N53" s="24" t="n"/>
      <c r="O53" s="24" t="n"/>
      <c r="P53" s="24" t="n"/>
      <c r="Q53" s="24" t="n"/>
      <c r="R53" s="24" t="n"/>
      <c r="S53" s="24" t="n"/>
      <c r="T53" s="24" t="n"/>
      <c r="U53" s="24" t="n"/>
      <c r="V53" s="24" t="n"/>
      <c r="W53" s="27" t="inlineStr">
        <is>
          <t>Trianglelab sells inexpensive clones of the E3D v6 assembly that is as good, if not better, than the original part. There is no reason to buy the "legit" part here unless you don't like money. Purchase the all metal option. PTFE lined will break down at ABS temps.</t>
        </is>
      </c>
      <c r="X53" s="24" t="n"/>
    </row>
    <row r="54">
      <c r="A54" s="24" t="inlineStr">
        <is>
          <t>Electronics</t>
        </is>
      </c>
      <c r="B54" s="24" t="inlineStr">
        <is>
          <t>40x40x10 Axial Fan - Ball Bearing (24V)</t>
        </is>
      </c>
      <c r="C54" s="24" t="n"/>
      <c r="D54" s="24" t="inlineStr">
        <is>
          <t>1</t>
        </is>
      </c>
      <c r="E54" s="24" t="inlineStr">
        <is>
          <t>All</t>
        </is>
      </c>
      <c r="F54" s="25">
        <f>HYPERLINK("https://www.aliexpress.com/item/32868163248.html","Aliexpress")</f>
        <v/>
      </c>
      <c r="G54" s="26">
        <f>HYPERLINK("https://s.click.aliexpress.com/e/_AUbIY8","[Affiliate Link]")</f>
        <v/>
      </c>
      <c r="H54" s="26">
        <f>HYPERLINK("https://www.aliexpress.com/item/32726640438.html","GDSTIME")</f>
        <v/>
      </c>
      <c r="I54" s="26">
        <f>HYPERLINK("https://s.click.aliexpress.com/e/_d8MBoAW","[Affiliate Link]")</f>
        <v/>
      </c>
      <c r="J54" s="26">
        <f>HYPERLINK("https://www.aliexpress.com/item/32727867521.html","GDSTIME (Aliexpress)")</f>
        <v/>
      </c>
      <c r="K54" s="26">
        <f>HYPERLINK("https://s.click.aliexpress.com/e/_d8MBoAW","[Affiliate Link]")</f>
        <v/>
      </c>
      <c r="L54" s="26">
        <f>HYPERLINK("https://www.amazon.com/dp/B07DB5H6K1","Amazon")</f>
        <v/>
      </c>
      <c r="M54" s="24" t="n"/>
      <c r="N54" s="26">
        <f>HYPERLINK("https://s.click.aliexpress.com/e/_d8MBoAW","AliExpress")</f>
        <v/>
      </c>
      <c r="O54" s="24" t="n"/>
      <c r="P54" s="24" t="n"/>
      <c r="Q54" s="24" t="n"/>
      <c r="R54" s="24" t="n"/>
      <c r="S54" s="24" t="n"/>
      <c r="T54" s="24" t="n"/>
      <c r="U54" s="24" t="n"/>
      <c r="V54" s="24" t="n"/>
      <c r="W54" s="27" t="inlineStr">
        <is>
          <t>Pretty much any fan here will work--airflow is less restricted through toolhead</t>
        </is>
      </c>
      <c r="X54" s="28" t="inlineStr">
        <is>
          <t>some links were dead</t>
        </is>
      </c>
    </row>
    <row r="55">
      <c r="A55" s="24" t="inlineStr">
        <is>
          <t>Electronics</t>
        </is>
      </c>
      <c r="B55" s="24" t="inlineStr">
        <is>
          <t>40x40x20 Centrifugal Blower Fan - Ball Bearing (24V)</t>
        </is>
      </c>
      <c r="C55" s="24" t="n"/>
      <c r="D55" s="24" t="inlineStr">
        <is>
          <t>1</t>
        </is>
      </c>
      <c r="E55" s="24" t="inlineStr">
        <is>
          <t>All</t>
        </is>
      </c>
      <c r="F55" s="25">
        <f>HYPERLINK("https://www.aliexpress.com/item/1005001464730686.html","GDSTIME")</f>
        <v/>
      </c>
      <c r="G55" s="26">
        <f>HYPERLINK("https://s.click.aliexpress.com/e/_dZ3Fq0i","[Affiliate Link]")</f>
        <v/>
      </c>
      <c r="H55" s="26">
        <f>HYPERLINK("https://www.aliexpress.com/item/32867138904.html","Aliexpress")</f>
        <v/>
      </c>
      <c r="I55" s="24" t="n"/>
      <c r="J55" s="26">
        <f>HYPERLINK("https://www.amazon.com/dp/B07L2YH79Y","Amazon")</f>
        <v/>
      </c>
      <c r="K55" s="24" t="n"/>
      <c r="L55" s="26">
        <f>HYPERLINK("https://www.amazon.com/dp/B07L2XZKS7","Amazon")</f>
        <v/>
      </c>
      <c r="M55" s="24" t="n"/>
      <c r="N55" s="26">
        <f>HYPERLINK("https://s.click.aliexpress.com/e/_dZ3Fq0i","AliExpress")</f>
        <v/>
      </c>
      <c r="O55" s="24" t="n"/>
      <c r="P55" s="24" t="n"/>
      <c r="Q55" s="24" t="n"/>
      <c r="R55" s="24" t="n"/>
      <c r="S55" s="24" t="n"/>
      <c r="T55" s="24" t="n"/>
      <c r="U55" s="24" t="n"/>
      <c r="V55" s="24" t="n"/>
      <c r="W55" s="27" t="inlineStr">
        <is>
          <t>4020 blower fans are pretty much all "clones" and should work fine</t>
        </is>
      </c>
      <c r="X55" s="24" t="n"/>
    </row>
    <row r="56">
      <c r="A56" s="24" t="inlineStr">
        <is>
          <t>Electronics</t>
        </is>
      </c>
      <c r="B56" s="24" t="inlineStr">
        <is>
          <t>60x60x20 Axial Fan (24V)</t>
        </is>
      </c>
      <c r="C56" s="24" t="n"/>
      <c r="D56" s="24" t="inlineStr">
        <is>
          <t>3</t>
        </is>
      </c>
      <c r="E56" s="24" t="inlineStr">
        <is>
          <t>All</t>
        </is>
      </c>
      <c r="F56" s="25">
        <f>HYPERLINK("https://www.digikey.com/product-detail/en/orion-fans/OD6020-24HB/1053-1234-ND/2621139","DigiKey")</f>
        <v/>
      </c>
      <c r="G56" s="24" t="n"/>
      <c r="H56" s="26">
        <f>HYPERLINK("https://www.aliexpress.com/item/32899594270.html","GDSTIME")</f>
        <v/>
      </c>
      <c r="I56" s="26">
        <f>HYPERLINK("https://s.click.aliexpress.com/e/_d67FlLy","[Affiliate Link]")</f>
        <v/>
      </c>
      <c r="J56" s="24" t="n"/>
      <c r="K56" s="24" t="n"/>
      <c r="L56" s="24" t="n"/>
      <c r="M56" s="24" t="n"/>
      <c r="N56" s="24" t="n"/>
      <c r="O56" s="24" t="n"/>
      <c r="P56" s="24" t="n"/>
      <c r="Q56" s="24" t="n"/>
      <c r="R56" s="24" t="n"/>
      <c r="S56" s="24" t="n"/>
      <c r="T56" s="24" t="n"/>
      <c r="U56" s="24" t="n"/>
      <c r="V56" s="24" t="n"/>
      <c r="W56" s="24" t="n"/>
      <c r="X56" s="28" t="inlineStr">
        <is>
          <t>some links were dead</t>
        </is>
      </c>
    </row>
    <row r="57">
      <c r="A57" s="24" t="inlineStr">
        <is>
          <t>Electronics</t>
        </is>
      </c>
      <c r="B57" s="24" t="inlineStr">
        <is>
          <t>Thermal Fuse</t>
        </is>
      </c>
      <c r="C57" s="24" t="n"/>
      <c r="D57" s="24" t="inlineStr">
        <is>
          <t>1</t>
        </is>
      </c>
      <c r="E57" s="24" t="inlineStr">
        <is>
          <t>All</t>
        </is>
      </c>
      <c r="F57" s="24" t="n"/>
      <c r="G57" s="24" t="n"/>
      <c r="H57" s="24" t="n"/>
      <c r="I57" s="24" t="n"/>
      <c r="J57" s="24" t="n"/>
      <c r="K57" s="24" t="n"/>
      <c r="L57" s="24" t="n"/>
      <c r="M57" s="24" t="n"/>
      <c r="N57" s="24" t="n"/>
      <c r="O57" s="24" t="n"/>
      <c r="P57" s="24" t="n"/>
      <c r="Q57" s="24" t="n"/>
      <c r="R57" s="24" t="n"/>
      <c r="S57" s="24" t="n"/>
      <c r="T57" s="24" t="n"/>
      <c r="U57" s="24" t="n"/>
      <c r="V57" s="24" t="n"/>
      <c r="W57" s="27" t="inlineStr">
        <is>
          <t>Buy a 115C-125C thermal cutoff, you want the fuse to blow before the heater falls off the bed</t>
        </is>
      </c>
      <c r="X57" s="28" t="inlineStr">
        <is>
          <t>all links were dead</t>
        </is>
      </c>
    </row>
    <row r="58">
      <c r="A58" s="5" t="inlineStr">
        <is>
          <t>Controller</t>
        </is>
      </c>
      <c r="B58" s="5" t="inlineStr">
        <is>
          <t>RaspberryPi4</t>
        </is>
      </c>
      <c r="C58" s="5" t="n"/>
      <c r="D58" s="5" t="inlineStr">
        <is>
          <t>1</t>
        </is>
      </c>
      <c r="E58" s="5" t="inlineStr">
        <is>
          <t>All</t>
        </is>
      </c>
      <c r="F58" s="6">
        <f>HYPERLINK("https://www.amazon.com/dp/B07TD42S27","Amazon")</f>
        <v/>
      </c>
      <c r="G58" s="5" t="n"/>
      <c r="H58" s="5" t="n"/>
      <c r="I58" s="5" t="n"/>
      <c r="J58" s="5" t="n"/>
      <c r="K58" s="5" t="n"/>
      <c r="L58" s="5" t="n"/>
      <c r="M58" s="5" t="n"/>
      <c r="N58" s="5" t="n"/>
      <c r="O58" s="5" t="n"/>
      <c r="P58" s="5" t="n"/>
      <c r="Q58" s="5" t="n"/>
      <c r="R58" s="5" t="n"/>
      <c r="S58" s="5" t="n"/>
      <c r="T58" s="5" t="n"/>
      <c r="U58" s="5" t="n"/>
      <c r="V58" s="5" t="n"/>
      <c r="W58" s="8" t="inlineStr">
        <is>
          <t>Quirks with the Raspberry Pi 4 have largely been figured out, and the Pi 3 B+ is no longer readily available. 2GB RAM version is plenty!</t>
        </is>
      </c>
      <c r="X58" s="29" t="inlineStr">
        <is>
          <t>some links were dead</t>
        </is>
      </c>
    </row>
    <row r="59">
      <c r="A59" s="5" t="inlineStr">
        <is>
          <t>Controller</t>
        </is>
      </c>
      <c r="B59" s="5" t="inlineStr">
        <is>
          <t>MicroSD Card</t>
        </is>
      </c>
      <c r="C59" s="5" t="n"/>
      <c r="D59" s="5" t="inlineStr">
        <is>
          <t>1</t>
        </is>
      </c>
      <c r="E59" s="5" t="inlineStr">
        <is>
          <t>All</t>
        </is>
      </c>
      <c r="F59" s="6">
        <f>HYPERLINK("https://www.amazon.com/dp/B073JYVKNX","Amazon (64gb)")</f>
        <v/>
      </c>
      <c r="G59" s="5" t="n"/>
      <c r="H59" s="7">
        <f>HYPERLINK("https://www.amazon.com/dp/B0749KG1JK","Amazon (32gb)")</f>
        <v/>
      </c>
      <c r="I59" s="5" t="n"/>
      <c r="J59" s="7">
        <f>HYPERLINK("https://amzn.to/2PDYXWX","Amazon")</f>
        <v/>
      </c>
      <c r="K59" s="5" t="n"/>
      <c r="L59" s="5" t="n"/>
      <c r="M59" s="5" t="n"/>
      <c r="N59" s="5" t="n"/>
      <c r="O59" s="5" t="n"/>
      <c r="P59" s="5" t="n"/>
      <c r="Q59" s="5" t="n"/>
      <c r="R59" s="5" t="n"/>
      <c r="S59" s="5" t="n"/>
      <c r="T59" s="5" t="n"/>
      <c r="U59" s="5" t="n"/>
      <c r="V59" s="5" t="n"/>
      <c r="W59" s="8" t="inlineStr">
        <is>
          <t>This SD card is a bit faster than the previously sourced one, but the difference should be minimal</t>
        </is>
      </c>
      <c r="X59" s="5" t="n"/>
    </row>
    <row r="60">
      <c r="A60" s="5" t="inlineStr">
        <is>
          <t>Controller</t>
        </is>
      </c>
      <c r="B60" s="5" t="inlineStr">
        <is>
          <t>SKR 1.4</t>
        </is>
      </c>
      <c r="C60" s="5" t="n"/>
      <c r="D60" s="5" t="inlineStr">
        <is>
          <t>1</t>
        </is>
      </c>
      <c r="E60" s="5" t="inlineStr">
        <is>
          <t>All</t>
        </is>
      </c>
      <c r="F60" s="6">
        <f>HYPERLINK("https://www.aliexpress.com/item/4000470048293.html","BIGTREETECH")</f>
        <v/>
      </c>
      <c r="G60" s="5" t="n"/>
      <c r="H60" s="5" t="n"/>
      <c r="I60" s="5" t="n"/>
      <c r="J60" s="5" t="n"/>
      <c r="K60" s="5" t="n"/>
      <c r="L60" s="5" t="n"/>
      <c r="M60" s="5" t="n"/>
      <c r="N60" s="5" t="n"/>
      <c r="O60" s="5" t="n"/>
      <c r="P60" s="5" t="n"/>
      <c r="Q60" s="5" t="n"/>
      <c r="R60" s="5" t="n"/>
      <c r="S60" s="5" t="n"/>
      <c r="T60" s="5" t="n"/>
      <c r="U60" s="5" t="n"/>
      <c r="V60" s="5" t="n"/>
      <c r="W60" s="8" t="inlineStr">
        <is>
          <t>Unfortunately SKR 1.3 is becoming difficult to find. SKR 1.4 is a fine replacement, the V1.8 SKR guide will have SKR 1.4 instructions</t>
        </is>
      </c>
      <c r="X60" s="29" t="inlineStr">
        <is>
          <t>all links were dead</t>
        </is>
      </c>
    </row>
    <row r="61">
      <c r="A61" s="5" t="inlineStr">
        <is>
          <t>Controller</t>
        </is>
      </c>
      <c r="B61" s="5" t="inlineStr">
        <is>
          <t>TMC 2209 Drivers</t>
        </is>
      </c>
      <c r="C61" s="5" t="n"/>
      <c r="D61" s="5" t="inlineStr">
        <is>
          <t>5</t>
        </is>
      </c>
      <c r="E61" s="5" t="inlineStr">
        <is>
          <t>All</t>
        </is>
      </c>
      <c r="F61" s="6">
        <f>HYPERLINK("https://www.aliexpress.com/item/33029587820.html","BIGTREETECH")</f>
        <v/>
      </c>
      <c r="G61" s="7">
        <f>HYPERLINK("https://s.click.aliexpress.com/e/_dUlA1Bk","[Affiliate Link]")</f>
        <v/>
      </c>
      <c r="H61" s="7">
        <f>HYPERLINK("https://www.aliexpress.com/item/4000206288948.html","Aliexpress")</f>
        <v/>
      </c>
      <c r="I61" s="7">
        <f>HYPERLINK("https://s.click.aliexpress.com/e/38lTe6y0","[Affiliate Link]")</f>
        <v/>
      </c>
      <c r="J61" s="7">
        <f>HYPERLINK("https://www.aliexpress.com/item/33047241001.html","Just the Drivers (TMC 2209)")</f>
        <v/>
      </c>
      <c r="K61" s="7">
        <f>HYPERLINK("https://s.click.aliexpress.com/e/_dW2vIwt","[Affiliate Link]")</f>
        <v/>
      </c>
      <c r="L61" s="5" t="n"/>
      <c r="M61" s="5" t="n"/>
      <c r="N61" s="5" t="n"/>
      <c r="O61" s="5" t="n"/>
      <c r="P61" s="5" t="n"/>
      <c r="Q61" s="5" t="n"/>
      <c r="R61" s="5" t="n"/>
      <c r="S61" s="5" t="n"/>
      <c r="T61" s="5" t="n"/>
      <c r="U61" s="5" t="n"/>
      <c r="V61" s="5" t="n"/>
      <c r="W61" s="8" t="inlineStr">
        <is>
          <t>Generally purchasing BTT 2209s is the safest option</t>
        </is>
      </c>
      <c r="X61" s="5" t="n"/>
    </row>
    <row r="62">
      <c r="A62" s="5" t="inlineStr">
        <is>
          <t>Controller</t>
        </is>
      </c>
      <c r="B62" s="5" t="inlineStr">
        <is>
          <t>FYSETC mini12864 Display (Type B)</t>
        </is>
      </c>
      <c r="C62" s="5" t="n"/>
      <c r="D62" s="5" t="inlineStr">
        <is>
          <t>1</t>
        </is>
      </c>
      <c r="E62" s="5" t="inlineStr">
        <is>
          <t>All</t>
        </is>
      </c>
      <c r="F62" s="6">
        <f>HYPERLINK("https://www.aliexpress.com/item/32980210325.html","Aliexpress (FYSETC)")</f>
        <v/>
      </c>
      <c r="G62" s="7">
        <f>HYPERLINK("https://s.click.aliexpress.com/e/_dUYlfGD","[Affiliate Link]")</f>
        <v/>
      </c>
      <c r="H62" s="5" t="n"/>
      <c r="I62" s="5" t="n"/>
      <c r="J62" s="5" t="n"/>
      <c r="K62" s="5" t="n"/>
      <c r="L62" s="5" t="n"/>
      <c r="M62" s="5" t="n"/>
      <c r="N62" s="5" t="n"/>
      <c r="O62" s="5" t="n"/>
      <c r="P62" s="5" t="n"/>
      <c r="Q62" s="5" t="n"/>
      <c r="R62" s="5" t="n"/>
      <c r="S62" s="5" t="n"/>
      <c r="T62" s="5" t="n"/>
      <c r="U62" s="5" t="n"/>
      <c r="V62" s="5" t="n"/>
      <c r="W62" s="8" t="inlineStr">
        <is>
          <t>mini12864 display is more compact and updates the display look a bit! Type B is what I have</t>
        </is>
      </c>
      <c r="X62" s="5" t="n"/>
    </row>
    <row r="63">
      <c r="A63" s="5" t="inlineStr">
        <is>
          <t>Controller</t>
        </is>
      </c>
      <c r="B63" s="5" t="inlineStr">
        <is>
          <t>Longer Display Cables (60cm)</t>
        </is>
      </c>
      <c r="C63" s="5" t="n"/>
      <c r="D63" s="5" t="inlineStr">
        <is>
          <t>2</t>
        </is>
      </c>
      <c r="E63" s="5" t="inlineStr">
        <is>
          <t>All</t>
        </is>
      </c>
      <c r="F63" s="5" t="n"/>
      <c r="G63" s="5" t="n"/>
      <c r="H63" s="5" t="n"/>
      <c r="I63" s="5" t="n"/>
      <c r="J63" s="5" t="n"/>
      <c r="K63" s="5" t="n"/>
      <c r="L63" s="5" t="n"/>
      <c r="M63" s="5" t="n"/>
      <c r="N63" s="5" t="n"/>
      <c r="O63" s="5" t="n"/>
      <c r="P63" s="5" t="n"/>
      <c r="Q63" s="5" t="n"/>
      <c r="R63" s="5" t="n"/>
      <c r="S63" s="5" t="n"/>
      <c r="T63" s="5" t="n"/>
      <c r="U63" s="5" t="n"/>
      <c r="V63" s="5" t="n"/>
      <c r="W63" s="8" t="inlineStr">
        <is>
          <t>Since MCU is on the back and display is on the front, these need to be a bit longer than normal</t>
        </is>
      </c>
      <c r="X63" s="29" t="inlineStr">
        <is>
          <t>all links were dead</t>
        </is>
      </c>
    </row>
    <row r="64">
      <c r="A64" s="30" t="inlineStr">
        <is>
          <t>Frame</t>
        </is>
      </c>
      <c r="B64" s="30" t="inlineStr">
        <is>
          <t>Misumi HFSB5-2020 (Size depends - use configurator)</t>
        </is>
      </c>
      <c r="C64" s="30" t="n"/>
      <c r="D64" s="30" t="n"/>
      <c r="E64" s="30" t="n"/>
      <c r="F64" s="32">
        <f>HYPERLINK("https://us.misumi-ec.com/vona2/detail/110302683830?Inch=0","Misumi")</f>
        <v/>
      </c>
      <c r="G64" s="30" t="n"/>
      <c r="H64" s="33">
        <f>HYPERLINK("https://docs.ldomotors.com/en/voron/LDO_Voron_Distributors","LDO")</f>
        <v/>
      </c>
      <c r="I64" s="30" t="n"/>
      <c r="J64" s="30" t="n"/>
      <c r="K64" s="30" t="n"/>
      <c r="L64" s="30" t="n"/>
      <c r="M64" s="30" t="n"/>
      <c r="N64" s="30" t="n"/>
      <c r="O64" s="30" t="n"/>
      <c r="P64" s="30" t="n"/>
      <c r="Q64" s="30" t="n"/>
      <c r="R64" s="30" t="n"/>
      <c r="S64" s="30" t="n"/>
      <c r="T64" s="30" t="n"/>
      <c r="U64" s="30" t="n"/>
      <c r="V64" s="30" t="n"/>
      <c r="W64" s="30" t="n"/>
      <c r="X64" s="30" t="n"/>
    </row>
    <row r="65">
      <c r="A65" s="30" t="inlineStr">
        <is>
          <t>Frame</t>
        </is>
      </c>
      <c r="B65" s="30" t="inlineStr">
        <is>
          <t>HFSB5-2020-500-LTP-RCP-AV380-AP40</t>
        </is>
      </c>
      <c r="C65" s="30" t="n"/>
      <c r="D65" s="30" t="inlineStr">
        <is>
          <t>4</t>
        </is>
      </c>
      <c r="E65" s="30" t="inlineStr">
        <is>
          <t>250x250x230</t>
        </is>
      </c>
      <c r="F65" s="32">
        <f>HYPERLINK("https://us.misumi-ec.com/vona2/detail/110302683830?HissuCode=HFSB5-2020-500-LTP-RCP-AV380-AP40&amp;Keyword=HFSB5-2020-500-LTP-RCP-AV380-AP40&amp;PNSearch=HFSB5-2020-500-LTP-RCP-AV380-AP40&amp;searchFlow=suggest2products","Misumi")</f>
        <v/>
      </c>
      <c r="G65" s="30" t="n"/>
      <c r="H65" s="30" t="n"/>
      <c r="I65" s="30" t="n"/>
      <c r="J65" s="30" t="n"/>
      <c r="K65" s="30" t="n"/>
      <c r="L65" s="30" t="n"/>
      <c r="M65" s="30" t="n"/>
      <c r="N65" s="30" t="n"/>
      <c r="O65" s="30" t="n"/>
      <c r="P65" s="30" t="n"/>
      <c r="Q65" s="30" t="n"/>
      <c r="R65" s="30" t="n"/>
      <c r="S65" s="30" t="n"/>
      <c r="T65" s="30" t="n"/>
      <c r="U65" s="30" t="n"/>
      <c r="V65" s="30" t="n"/>
      <c r="W65" s="34" t="inlineStr">
        <is>
          <t>Vertical Extrusions with blind joint access holes pre-drilled. Can DIY holes for cost savings</t>
        </is>
      </c>
      <c r="X65" s="30" t="n"/>
    </row>
    <row r="66">
      <c r="A66" s="30" t="inlineStr">
        <is>
          <t>Frame</t>
        </is>
      </c>
      <c r="B66" s="30" t="inlineStr">
        <is>
          <t>HFSB5-2020-500-LTP-RCP-AV380-AP40</t>
        </is>
      </c>
      <c r="C66" s="30" t="n"/>
      <c r="D66" s="30" t="inlineStr">
        <is>
          <t>4</t>
        </is>
      </c>
      <c r="E66" s="30" t="inlineStr">
        <is>
          <t>300x300x230</t>
        </is>
      </c>
      <c r="F66" s="32">
        <f>HYPERLINK("https://us.misumi-ec.com/vona2/detail/110302683830?HissuCode=HFSB5-2020-500-LTP-RCP-AV380-AP40&amp;Keyword=HFSB5-2020-500-LTP-RCP-AV380-AP40&amp;PNSearch=HFSB5-2020-500-LTP-RCP-AV380-AP40&amp;searchFlow=suggest2products","Misumi")</f>
        <v/>
      </c>
      <c r="G66" s="30" t="n"/>
      <c r="H66" s="30" t="n"/>
      <c r="I66" s="30" t="n"/>
      <c r="J66" s="30" t="n"/>
      <c r="K66" s="30" t="n"/>
      <c r="L66" s="30" t="n"/>
      <c r="M66" s="30" t="n"/>
      <c r="N66" s="30" t="n"/>
      <c r="O66" s="30" t="n"/>
      <c r="P66" s="30" t="n"/>
      <c r="Q66" s="30" t="n"/>
      <c r="R66" s="30" t="n"/>
      <c r="S66" s="30" t="n"/>
      <c r="T66" s="30" t="n"/>
      <c r="U66" s="30" t="n"/>
      <c r="V66" s="30" t="n"/>
      <c r="W66" s="34" t="inlineStr">
        <is>
          <t>Vertical Extrusions with blind joint access holes pre-drilled. Can DIY holes for cost savings</t>
        </is>
      </c>
      <c r="X66" s="30" t="n"/>
    </row>
    <row r="67">
      <c r="A67" s="30" t="inlineStr">
        <is>
          <t>Frame</t>
        </is>
      </c>
      <c r="B67" s="30" t="inlineStr">
        <is>
          <t>HFSB5-2020-370-TPW</t>
        </is>
      </c>
      <c r="C67" s="30" t="inlineStr">
        <is>
          <t>A</t>
        </is>
      </c>
      <c r="D67" s="30" t="inlineStr">
        <is>
          <t>10</t>
        </is>
      </c>
      <c r="E67" s="30" t="inlineStr">
        <is>
          <t>250x250x230</t>
        </is>
      </c>
      <c r="F67" s="32">
        <f>HYPERLINK("https://us.misumi-ec.com/vona2/detail/110302683830?HissuCode=HFSB5-2020-370-TPW&amp;KWSearch=HFSB5-2020-370-TPW&amp;PNSearch=HFSB5-2020-370-TPW&amp;searchFlow=results2type","Misumi")</f>
        <v/>
      </c>
      <c r="G67" s="30" t="n"/>
      <c r="H67" s="30" t="n"/>
      <c r="I67" s="30" t="n"/>
      <c r="J67" s="30" t="n"/>
      <c r="K67" s="30" t="n"/>
      <c r="L67" s="30" t="n"/>
      <c r="M67" s="30" t="n"/>
      <c r="N67" s="30" t="n"/>
      <c r="O67" s="30" t="n"/>
      <c r="P67" s="30" t="n"/>
      <c r="Q67" s="30" t="n"/>
      <c r="R67" s="30" t="n"/>
      <c r="S67" s="30" t="n"/>
      <c r="T67" s="30" t="n"/>
      <c r="U67" s="30" t="n"/>
      <c r="V67" s="30" t="n"/>
      <c r="W67" s="34" t="inlineStr">
        <is>
          <t>Horizontal Extrusions for outer frame and Gantry</t>
        </is>
      </c>
      <c r="X67" s="30" t="n"/>
    </row>
    <row r="68">
      <c r="A68" s="30" t="inlineStr">
        <is>
          <t>Frame</t>
        </is>
      </c>
      <c r="B68" s="30" t="inlineStr">
        <is>
          <t>HFSB5-2020-370-AH45-BH325</t>
        </is>
      </c>
      <c r="C68" s="30" t="n"/>
      <c r="D68" s="30" t="inlineStr">
        <is>
          <t>2</t>
        </is>
      </c>
      <c r="E68" s="30" t="inlineStr">
        <is>
          <t>250x250x230</t>
        </is>
      </c>
      <c r="F68" s="32">
        <f>HYPERLINK("https://us.misumi-ec.com/vona2/detail/110302683830?HissuCode=HFSB5-2020-370-AH45-BH325&amp;KWSearch=HFSB5-2020-370-AH45-BH325&amp;PNSearch=HFSB5-2020-370-AH45-BH325&amp;searchFlow=results2type","Misumi")</f>
        <v/>
      </c>
      <c r="G68" s="30" t="n"/>
      <c r="H68" s="30" t="n"/>
      <c r="I68" s="30" t="n"/>
      <c r="J68" s="30" t="n"/>
      <c r="K68" s="30" t="n"/>
      <c r="L68" s="30" t="n"/>
      <c r="M68" s="30" t="n"/>
      <c r="N68" s="30" t="n"/>
      <c r="O68" s="30" t="n"/>
      <c r="P68" s="30" t="n"/>
      <c r="Q68" s="30" t="n"/>
      <c r="R68" s="30" t="n"/>
      <c r="S68" s="30" t="n"/>
      <c r="T68" s="30" t="n"/>
      <c r="U68" s="30" t="n"/>
      <c r="V68" s="30" t="n"/>
      <c r="W68" s="34" t="inlineStr">
        <is>
          <t>Left/Right Extrusions for Bed Frame with blind joint access holes pre-drilled. Can DIY holes for cost savings</t>
        </is>
      </c>
      <c r="X68" s="30" t="n"/>
    </row>
    <row r="69">
      <c r="A69" s="30" t="inlineStr">
        <is>
          <t>Frame</t>
        </is>
      </c>
      <c r="B69" s="30" t="inlineStr">
        <is>
          <t>HFSB5-2020-150-TPW</t>
        </is>
      </c>
      <c r="C69" s="30" t="n"/>
      <c r="D69" s="30" t="inlineStr">
        <is>
          <t>2</t>
        </is>
      </c>
      <c r="E69" s="30" t="inlineStr">
        <is>
          <t>250x250x230</t>
        </is>
      </c>
      <c r="F69" s="32">
        <f>HYPERLINK("https://us.misumi-ec.com/vona2/detail/110302683830?HissuCode=HFSB5-2020-150-TPW&amp;KWSearch=HFSB5-2020-150-TPW&amp;PNSearch=HFSB5-2020-150-TPW&amp;searchFlow=results2type","Misumi")</f>
        <v/>
      </c>
      <c r="G69" s="30" t="n"/>
      <c r="H69" s="30" t="n"/>
      <c r="I69" s="30" t="n"/>
      <c r="J69" s="30" t="n"/>
      <c r="K69" s="30" t="n"/>
      <c r="L69" s="30" t="n"/>
      <c r="M69" s="30" t="n"/>
      <c r="N69" s="30" t="n"/>
      <c r="O69" s="30" t="n"/>
      <c r="P69" s="30" t="n"/>
      <c r="Q69" s="30" t="n"/>
      <c r="R69" s="30" t="n"/>
      <c r="S69" s="30" t="n"/>
      <c r="T69" s="30" t="n"/>
      <c r="U69" s="30" t="n"/>
      <c r="V69" s="30" t="n"/>
      <c r="W69" s="34" t="inlineStr">
        <is>
          <t>Front/Back Extrusions for Bed Frame with tapped ends (-TPW). Can tap DIY for cost savings</t>
        </is>
      </c>
      <c r="X69" s="30" t="n"/>
    </row>
    <row r="70">
      <c r="A70" s="30" t="inlineStr">
        <is>
          <t>Frame</t>
        </is>
      </c>
      <c r="B70" s="30" t="inlineStr">
        <is>
          <t>HFSB5-2020-240</t>
        </is>
      </c>
      <c r="C70" s="30" t="inlineStr">
        <is>
          <t>D</t>
        </is>
      </c>
      <c r="D70" s="30" t="inlineStr">
        <is>
          <t>1</t>
        </is>
      </c>
      <c r="E70" s="30" t="inlineStr">
        <is>
          <t>250x250x230</t>
        </is>
      </c>
      <c r="F70" s="32">
        <f>HYPERLINK("https://us.misumi-ec.com/vona2/detail/110302683830?HissuCode=HFSB5-2020-240&amp;Keyword=HFSB5-2020-240&amp;PNSearch=HFSB5-2020-240&amp;searchFlow=suggest2products","Misumi")</f>
        <v/>
      </c>
      <c r="G70" s="30" t="n"/>
      <c r="H70" s="30" t="n"/>
      <c r="I70" s="30" t="n"/>
      <c r="J70" s="30" t="n"/>
      <c r="K70" s="30" t="n"/>
      <c r="L70" s="30" t="n"/>
      <c r="M70" s="30" t="n"/>
      <c r="N70" s="30" t="n"/>
      <c r="O70" s="30" t="n"/>
      <c r="P70" s="30" t="n"/>
      <c r="Q70" s="30" t="n"/>
      <c r="R70" s="30" t="n"/>
      <c r="S70" s="30" t="n"/>
      <c r="T70" s="30" t="n"/>
      <c r="U70" s="30" t="n"/>
      <c r="V70" s="30" t="n"/>
      <c r="W70" s="34" t="inlineStr">
        <is>
          <t>Rear Cross Bar for Gantry: X Spec Dimension - 10mm</t>
        </is>
      </c>
      <c r="X70" s="30" t="n"/>
    </row>
    <row r="71">
      <c r="A71" s="30" t="inlineStr">
        <is>
          <t>Frame</t>
        </is>
      </c>
      <c r="B71" s="30" t="inlineStr">
        <is>
          <t>HFSB5-2020-330</t>
        </is>
      </c>
      <c r="C71" s="30" t="inlineStr">
        <is>
          <t>E</t>
        </is>
      </c>
      <c r="D71" s="30" t="inlineStr">
        <is>
          <t>1</t>
        </is>
      </c>
      <c r="E71" s="30" t="inlineStr">
        <is>
          <t>250x250x230</t>
        </is>
      </c>
      <c r="F71" s="32">
        <f>HYPERLINK("https://us.misumi-ec.com/vona2/detail/110302683830?HissuCode=HFSB5-2020-330&amp;Keyword=HFSB5-2020-330&amp;PNSearch=HFSB5-2020-330&amp;searchFlow=suggest2products","Misumi")</f>
        <v/>
      </c>
      <c r="G71" s="30" t="n"/>
      <c r="H71" s="33">
        <f>HYPERLINK("https://us.misumi-ec.com/vona2/detail/110302683830?HissuCode=HFSB5-2020-330&amp;KWSearch=HFSB5-2020-330&amp;PNSearch=HFSB5-2020-330&amp;searchFlow=results2type","Misumi")</f>
        <v/>
      </c>
      <c r="I71" s="30" t="n"/>
      <c r="J71" s="30" t="n"/>
      <c r="K71" s="30" t="n"/>
      <c r="L71" s="30" t="n"/>
      <c r="M71" s="30" t="n"/>
      <c r="N71" s="30" t="n"/>
      <c r="O71" s="30" t="n"/>
      <c r="P71" s="30" t="n"/>
      <c r="Q71" s="30" t="n"/>
      <c r="R71" s="30" t="n"/>
      <c r="S71" s="30" t="n"/>
      <c r="T71" s="30" t="n"/>
      <c r="U71" s="30" t="n"/>
      <c r="V71" s="30" t="n"/>
      <c r="W71" s="34" t="inlineStr">
        <is>
          <t>X Axis Extrusion: X Spec Dimension + 80mm</t>
        </is>
      </c>
      <c r="X71" s="30" t="n"/>
    </row>
    <row r="72">
      <c r="A72" s="30" t="inlineStr">
        <is>
          <t>Frame</t>
        </is>
      </c>
      <c r="B72" s="30" t="inlineStr">
        <is>
          <t>HFSB5-2020-230</t>
        </is>
      </c>
      <c r="C72" s="30" t="n"/>
      <c r="D72" s="30" t="inlineStr">
        <is>
          <t>2</t>
        </is>
      </c>
      <c r="E72" s="30" t="inlineStr">
        <is>
          <t>250x250x230</t>
        </is>
      </c>
      <c r="F72" s="32">
        <f>HYPERLINK("https://us.misumi-ec.com/vona2/detail/110302683830?HissuCode=HFSB5-2020-250&amp;Keyword=HFSB5-2020-250&amp;PNSearch=HFSB5-2020-250&amp;searchFlow=suggest2products","Misumi")</f>
        <v/>
      </c>
      <c r="G72" s="30" t="n"/>
      <c r="H72" s="30" t="n"/>
      <c r="I72" s="30" t="n"/>
      <c r="J72" s="30" t="n"/>
      <c r="K72" s="30" t="n"/>
      <c r="L72" s="30" t="n"/>
      <c r="M72" s="30" t="n"/>
      <c r="N72" s="30" t="n"/>
      <c r="O72" s="30" t="n"/>
      <c r="P72" s="30" t="n"/>
      <c r="Q72" s="30" t="n"/>
      <c r="R72" s="30" t="n"/>
      <c r="S72" s="30" t="n"/>
      <c r="T72" s="30" t="n"/>
      <c r="U72" s="30" t="n"/>
      <c r="V72" s="30" t="n"/>
      <c r="W72" s="34" t="inlineStr">
        <is>
          <t>Rear Electronics Enclosure Vertical Extrusions: Z Spec Dimension</t>
        </is>
      </c>
      <c r="X72" s="30" t="n"/>
    </row>
    <row r="73">
      <c r="A73" s="30" t="inlineStr">
        <is>
          <t>Frame</t>
        </is>
      </c>
      <c r="B73" s="30" t="inlineStr">
        <is>
          <t>HFSB5-2020-230</t>
        </is>
      </c>
      <c r="C73" s="30" t="n"/>
      <c r="D73" s="30" t="inlineStr">
        <is>
          <t>2</t>
        </is>
      </c>
      <c r="E73" s="30" t="inlineStr">
        <is>
          <t>300x300x230</t>
        </is>
      </c>
      <c r="F73" s="32">
        <f>HYPERLINK("https://us.misumi-ec.com/vona2/detail/110302683830?HissuCode=HFSB5-2020-250&amp;Keyword=HFSB5-2020-250&amp;PNSearch=HFSB5-2020-250&amp;searchFlow=suggest2products","Misumi")</f>
        <v/>
      </c>
      <c r="G73" s="30" t="n"/>
      <c r="H73" s="30" t="n"/>
      <c r="I73" s="30" t="n"/>
      <c r="J73" s="30" t="n"/>
      <c r="K73" s="30" t="n"/>
      <c r="L73" s="30" t="n"/>
      <c r="M73" s="30" t="n"/>
      <c r="N73" s="30" t="n"/>
      <c r="O73" s="30" t="n"/>
      <c r="P73" s="30" t="n"/>
      <c r="Q73" s="30" t="n"/>
      <c r="R73" s="30" t="n"/>
      <c r="S73" s="30" t="n"/>
      <c r="T73" s="30" t="n"/>
      <c r="U73" s="30" t="n"/>
      <c r="V73" s="30" t="n"/>
      <c r="W73" s="34" t="inlineStr">
        <is>
          <t>Rear Electronics Enclosure Vertical Extrusions: Z Spec Dimension</t>
        </is>
      </c>
      <c r="X73" s="30" t="n"/>
    </row>
    <row r="74">
      <c r="A74" s="30" t="inlineStr">
        <is>
          <t>Frame</t>
        </is>
      </c>
      <c r="B74" s="30" t="inlineStr">
        <is>
          <t>HFSB5-2020-370</t>
        </is>
      </c>
      <c r="C74" s="30" t="n"/>
      <c r="D74" s="30" t="inlineStr">
        <is>
          <t>1</t>
        </is>
      </c>
      <c r="E74" s="30" t="inlineStr">
        <is>
          <t>250x250x230</t>
        </is>
      </c>
      <c r="F74" s="32">
        <f>HYPERLINK("https://us.misumi-ec.com/vona2/detail/110302683830?HissuCode=HFSB5-2020-370&amp;Keyword=HFSB5-2020-370&amp;PNSearch=HFSB5-2020-370&amp;searchFlow=suggest2products","Misumi")</f>
        <v/>
      </c>
      <c r="G74" s="30" t="n"/>
      <c r="H74" s="30" t="n"/>
      <c r="I74" s="30" t="n"/>
      <c r="J74" s="30" t="n"/>
      <c r="K74" s="30" t="n"/>
      <c r="L74" s="30" t="n"/>
      <c r="M74" s="30" t="n"/>
      <c r="N74" s="30" t="n"/>
      <c r="O74" s="30" t="n"/>
      <c r="P74" s="30" t="n"/>
      <c r="Q74" s="30" t="n"/>
      <c r="R74" s="30" t="n"/>
      <c r="S74" s="30" t="n"/>
      <c r="T74" s="30" t="n"/>
      <c r="U74" s="30" t="n"/>
      <c r="V74" s="30" t="n"/>
      <c r="W74" s="34" t="inlineStr">
        <is>
          <t>Rear Electronics Enclosure Horizontal Extrusion: X Spec Dimension + 120mm</t>
        </is>
      </c>
      <c r="X74" s="30" t="n"/>
    </row>
    <row r="75">
      <c r="A75" s="30" t="inlineStr">
        <is>
          <t>Frame</t>
        </is>
      </c>
      <c r="B75" s="30" t="inlineStr">
        <is>
          <t>HFSB5-2020-420-TPW</t>
        </is>
      </c>
      <c r="C75" s="30" t="inlineStr">
        <is>
          <t>A</t>
        </is>
      </c>
      <c r="D75" s="30" t="inlineStr">
        <is>
          <t>10</t>
        </is>
      </c>
      <c r="E75" s="30" t="inlineStr">
        <is>
          <t>300x300x230</t>
        </is>
      </c>
      <c r="F75" s="32">
        <f>HYPERLINK("https://us.misumi-ec.com/vona2/detail/110302683830?HissuCode=HFSB5-2020-420-TPW&amp;KWSearch=HFSB5-2020-420-TPW&amp;PNSearch=HFSB5-2020-420-TPW&amp;searchFlow=results2type","Misumi")</f>
        <v/>
      </c>
      <c r="G75" s="30" t="n"/>
      <c r="H75" s="30" t="n"/>
      <c r="I75" s="30" t="n"/>
      <c r="J75" s="30" t="n"/>
      <c r="K75" s="30" t="n"/>
      <c r="L75" s="30" t="n"/>
      <c r="M75" s="30" t="n"/>
      <c r="N75" s="30" t="n"/>
      <c r="O75" s="30" t="n"/>
      <c r="P75" s="30" t="n"/>
      <c r="Q75" s="30" t="n"/>
      <c r="R75" s="30" t="n"/>
      <c r="S75" s="30" t="n"/>
      <c r="T75" s="30" t="n"/>
      <c r="U75" s="30" t="n"/>
      <c r="V75" s="30" t="n"/>
      <c r="W75" s="30" t="n"/>
      <c r="X75" s="30" t="n"/>
    </row>
    <row r="76">
      <c r="A76" s="30" t="inlineStr">
        <is>
          <t>Frame</t>
        </is>
      </c>
      <c r="B76" s="30" t="inlineStr">
        <is>
          <t>HFSB5-2020-420-AH45-BH375</t>
        </is>
      </c>
      <c r="C76" s="30" t="n"/>
      <c r="D76" s="30" t="inlineStr">
        <is>
          <t>2</t>
        </is>
      </c>
      <c r="E76" s="30" t="inlineStr">
        <is>
          <t>300x300x230</t>
        </is>
      </c>
      <c r="F76" s="30" t="n"/>
      <c r="G76" s="30" t="n"/>
      <c r="H76" s="30" t="n"/>
      <c r="I76" s="30" t="n"/>
      <c r="J76" s="30" t="n"/>
      <c r="K76" s="30" t="n"/>
      <c r="L76" s="30" t="n"/>
      <c r="M76" s="30" t="n"/>
      <c r="N76" s="30" t="n"/>
      <c r="O76" s="30" t="n"/>
      <c r="P76" s="30" t="n"/>
      <c r="Q76" s="30" t="n"/>
      <c r="R76" s="30" t="n"/>
      <c r="S76" s="30" t="n"/>
      <c r="T76" s="30" t="n"/>
      <c r="U76" s="30" t="n"/>
      <c r="V76" s="30" t="n"/>
      <c r="W76" s="30" t="n"/>
      <c r="X76" s="30" t="n"/>
    </row>
    <row r="77">
      <c r="A77" s="30" t="inlineStr">
        <is>
          <t>Frame</t>
        </is>
      </c>
      <c r="B77" s="30" t="inlineStr">
        <is>
          <t>HFSB5-2020-200-TPW</t>
        </is>
      </c>
      <c r="C77" s="30" t="n"/>
      <c r="D77" s="30" t="inlineStr">
        <is>
          <t>2</t>
        </is>
      </c>
      <c r="E77" s="30" t="inlineStr">
        <is>
          <t>300x300x230</t>
        </is>
      </c>
      <c r="F77" s="30" t="n"/>
      <c r="G77" s="30" t="n"/>
      <c r="H77" s="30" t="n"/>
      <c r="I77" s="30" t="n"/>
      <c r="J77" s="30" t="n"/>
      <c r="K77" s="30" t="n"/>
      <c r="L77" s="30" t="n"/>
      <c r="M77" s="30" t="n"/>
      <c r="N77" s="30" t="n"/>
      <c r="O77" s="30" t="n"/>
      <c r="P77" s="30" t="n"/>
      <c r="Q77" s="30" t="n"/>
      <c r="R77" s="30" t="n"/>
      <c r="S77" s="30" t="n"/>
      <c r="T77" s="30" t="n"/>
      <c r="U77" s="30" t="n"/>
      <c r="V77" s="30" t="n"/>
      <c r="W77" s="30" t="n"/>
      <c r="X77" s="30" t="n"/>
    </row>
    <row r="78">
      <c r="A78" s="30" t="inlineStr">
        <is>
          <t>Frame</t>
        </is>
      </c>
      <c r="B78" s="30" t="inlineStr">
        <is>
          <t>HFSB5-2020-290</t>
        </is>
      </c>
      <c r="C78" s="30" t="inlineStr">
        <is>
          <t>D</t>
        </is>
      </c>
      <c r="D78" s="30" t="inlineStr">
        <is>
          <t>1</t>
        </is>
      </c>
      <c r="E78" s="30" t="inlineStr">
        <is>
          <t>300x300x230</t>
        </is>
      </c>
      <c r="F78" s="32">
        <f>HYPERLINK("https://us.misumi-ec.com/vona2/detail/110302683830?HissuCode=HFSB5-2020-290&amp;Keyword=HFSB5-2020-290&amp;PNSearch=HFSB5-2020-290&amp;searchFlow=suggest2products","Misumi")</f>
        <v/>
      </c>
      <c r="G78" s="30" t="n"/>
      <c r="H78" s="30" t="n"/>
      <c r="I78" s="30" t="n"/>
      <c r="J78" s="30" t="n"/>
      <c r="K78" s="30" t="n"/>
      <c r="L78" s="30" t="n"/>
      <c r="M78" s="30" t="n"/>
      <c r="N78" s="30" t="n"/>
      <c r="O78" s="30" t="n"/>
      <c r="P78" s="30" t="n"/>
      <c r="Q78" s="30" t="n"/>
      <c r="R78" s="30" t="n"/>
      <c r="S78" s="30" t="n"/>
      <c r="T78" s="30" t="n"/>
      <c r="U78" s="30" t="n"/>
      <c r="V78" s="30" t="n"/>
      <c r="W78" s="30" t="n"/>
      <c r="X78" s="30" t="n"/>
    </row>
    <row r="79">
      <c r="A79" s="30" t="inlineStr">
        <is>
          <t>Frame</t>
        </is>
      </c>
      <c r="B79" s="30" t="inlineStr">
        <is>
          <t>HFSB5-2020-380</t>
        </is>
      </c>
      <c r="C79" s="30" t="inlineStr">
        <is>
          <t>E</t>
        </is>
      </c>
      <c r="D79" s="30" t="inlineStr">
        <is>
          <t>1</t>
        </is>
      </c>
      <c r="E79" s="30" t="inlineStr">
        <is>
          <t>300x300x230</t>
        </is>
      </c>
      <c r="F79" s="32">
        <f>HYPERLINK("https://us.misumi-ec.com/vona2/detail/110302683830?HissuCode=HFSB5-2020-380&amp;Keyword=HFSB5-2020-380&amp;PNSearch=HFSB5-2020-380&amp;searchFlow=suggest2products","Misumi")</f>
        <v/>
      </c>
      <c r="G79" s="30" t="n"/>
      <c r="H79" s="30" t="n"/>
      <c r="I79" s="30" t="n"/>
      <c r="J79" s="30" t="n"/>
      <c r="K79" s="30" t="n"/>
      <c r="L79" s="30" t="n"/>
      <c r="M79" s="30" t="n"/>
      <c r="N79" s="30" t="n"/>
      <c r="O79" s="30" t="n"/>
      <c r="P79" s="30" t="n"/>
      <c r="Q79" s="30" t="n"/>
      <c r="R79" s="30" t="n"/>
      <c r="S79" s="30" t="n"/>
      <c r="T79" s="30" t="n"/>
      <c r="U79" s="30" t="n"/>
      <c r="V79" s="30" t="n"/>
      <c r="W79" s="30" t="n"/>
      <c r="X79" s="30" t="n"/>
    </row>
    <row r="80">
      <c r="A80" s="30" t="inlineStr">
        <is>
          <t>Frame</t>
        </is>
      </c>
      <c r="B80" s="30" t="inlineStr">
        <is>
          <t>HFSB5-2020-420</t>
        </is>
      </c>
      <c r="C80" s="30" t="n"/>
      <c r="D80" s="30" t="inlineStr">
        <is>
          <t>1</t>
        </is>
      </c>
      <c r="E80" s="30" t="inlineStr">
        <is>
          <t>300x300x230</t>
        </is>
      </c>
      <c r="F80" s="30" t="n"/>
      <c r="G80" s="30" t="n"/>
      <c r="H80" s="30" t="n"/>
      <c r="I80" s="30" t="n"/>
      <c r="J80" s="30" t="n"/>
      <c r="K80" s="30" t="n"/>
      <c r="L80" s="30" t="n"/>
      <c r="M80" s="30" t="n"/>
      <c r="N80" s="30" t="n"/>
      <c r="O80" s="30" t="n"/>
      <c r="P80" s="30" t="n"/>
      <c r="Q80" s="30" t="n"/>
      <c r="R80" s="30" t="n"/>
      <c r="S80" s="30" t="n"/>
      <c r="T80" s="30" t="n"/>
      <c r="U80" s="30" t="n"/>
      <c r="V80" s="30" t="n"/>
      <c r="W80" s="30" t="n"/>
      <c r="X80" s="30" t="n"/>
    </row>
    <row r="81">
      <c r="A81" s="35" t="inlineStr">
        <is>
          <t>Misc</t>
        </is>
      </c>
      <c r="B81" s="35" t="inlineStr">
        <is>
          <t>Bowden Tube</t>
        </is>
      </c>
      <c r="C81" s="35" t="n"/>
      <c r="D81" s="35" t="n"/>
      <c r="E81" s="35" t="n"/>
      <c r="F81" s="36">
        <f>HYPERLINK("https://www.aliexpress.com/item/1005001408141263.html","Aliexpress")</f>
        <v/>
      </c>
      <c r="G81" s="39">
        <f>HYPERLINK("https://s.click.aliexpress.com/e/_AZwI9m","[Affiliate Link]")</f>
        <v/>
      </c>
      <c r="H81" s="35" t="n"/>
      <c r="I81" s="35" t="n"/>
      <c r="J81" s="35" t="n"/>
      <c r="K81" s="35" t="n"/>
      <c r="L81" s="35" t="n"/>
      <c r="M81" s="35" t="n"/>
      <c r="N81" s="35" t="n"/>
      <c r="O81" s="35" t="n"/>
      <c r="P81" s="35" t="n"/>
      <c r="Q81" s="35" t="n"/>
      <c r="R81" s="35" t="n"/>
      <c r="S81" s="35" t="n"/>
      <c r="T81" s="35" t="n"/>
      <c r="U81" s="35" t="n"/>
      <c r="V81" s="35" t="n"/>
      <c r="W81" s="37" t="inlineStr">
        <is>
          <t>V1.8 uses a "reverse bowden"--so it's not under load and not critical, and is no longer a wear item. Purchase whatever suits your fancy</t>
        </is>
      </c>
      <c r="X81" s="38" t="inlineStr">
        <is>
          <t>some links were dead</t>
        </is>
      </c>
    </row>
    <row r="82">
      <c r="A82" s="35" t="inlineStr">
        <is>
          <t>Misc</t>
        </is>
      </c>
      <c r="B82" s="35" t="inlineStr">
        <is>
          <t>DIN Rail - Electronics Enclosure - Steel - 35mm wide, 7.5mm tall, Steel</t>
        </is>
      </c>
      <c r="C82" s="35" t="n"/>
      <c r="D82" s="35" t="inlineStr">
        <is>
          <t>2-3</t>
        </is>
      </c>
      <c r="E82" s="35" t="inlineStr">
        <is>
          <t>250 build - 370mm</t>
        </is>
      </c>
      <c r="F82" s="36">
        <f>HYPERLINK("https://www.aliexpress.com/item/4001002262174.html","Aliexpress")</f>
        <v/>
      </c>
      <c r="G82" s="39">
        <f>HYPERLINK("https://s.click.aliexpress.com/e/_AAsUJw","[Affiliate Link]")</f>
        <v/>
      </c>
      <c r="H82" s="35" t="n"/>
      <c r="I82" s="35" t="n"/>
      <c r="J82" s="35" t="n"/>
      <c r="K82" s="35" t="n"/>
      <c r="L82" s="35" t="n"/>
      <c r="M82" s="35" t="n"/>
      <c r="N82" s="35" t="n"/>
      <c r="O82" s="35" t="n"/>
      <c r="P82" s="35" t="n"/>
      <c r="Q82" s="35" t="n"/>
      <c r="R82" s="35" t="n"/>
      <c r="S82" s="35" t="n"/>
      <c r="T82" s="35" t="n"/>
      <c r="U82" s="35" t="n"/>
      <c r="V82" s="35" t="n"/>
      <c r="W82" s="35" t="n"/>
      <c r="X82" s="35" t="n"/>
    </row>
    <row r="83">
      <c r="A83" s="35" t="inlineStr">
        <is>
          <t>Misc</t>
        </is>
      </c>
      <c r="B83" s="35" t="inlineStr">
        <is>
          <t>DIN Rail - Electronics Enclosure - Steel - 35mm wide, 7.5mm tall, Steel</t>
        </is>
      </c>
      <c r="C83" s="35" t="n"/>
      <c r="D83" s="35" t="inlineStr">
        <is>
          <t>2-3</t>
        </is>
      </c>
      <c r="E83" s="35" t="inlineStr">
        <is>
          <t>300 build - 420mm</t>
        </is>
      </c>
      <c r="F83" s="36">
        <f>HYPERLINK("https://www.aliexpress.com/item/4001002262174.html","Aliexpress")</f>
        <v/>
      </c>
      <c r="G83" s="39">
        <f>HYPERLINK("https://s.click.aliexpress.com/e/_AAsUJw","[Affiliate Link]")</f>
        <v/>
      </c>
      <c r="H83" s="35" t="n"/>
      <c r="I83" s="35" t="n"/>
      <c r="J83" s="35" t="n"/>
      <c r="K83" s="35" t="n"/>
      <c r="L83" s="35" t="n"/>
      <c r="M83" s="35" t="n"/>
      <c r="N83" s="35" t="n"/>
      <c r="O83" s="35" t="n"/>
      <c r="P83" s="35" t="n"/>
      <c r="Q83" s="35" t="n"/>
      <c r="R83" s="35" t="n"/>
      <c r="S83" s="35" t="n"/>
      <c r="T83" s="35" t="n"/>
      <c r="U83" s="35" t="n"/>
      <c r="V83" s="35" t="n"/>
      <c r="W83" s="35" t="n"/>
      <c r="X83" s="35" t="n"/>
    </row>
    <row r="84">
      <c r="A84" s="40" t="inlineStr">
        <is>
          <t>Cables</t>
        </is>
      </c>
      <c r="B84" s="40" t="inlineStr">
        <is>
          <t>10x11mm - 1 meter with 2 end sets (2 fixed end, 2 free end), R18 (18mm radius)</t>
        </is>
      </c>
      <c r="C84" s="40" t="n"/>
      <c r="D84" s="40" t="inlineStr">
        <is>
          <t>1</t>
        </is>
      </c>
      <c r="E84" s="40" t="inlineStr">
        <is>
          <t>All</t>
        </is>
      </c>
      <c r="F84" s="41">
        <f>HYPERLINK("https://www.amazon.com/dp/B07QLGWQ1L","Amazon")</f>
        <v/>
      </c>
      <c r="G84" s="40" t="n"/>
      <c r="H84" s="40" t="n"/>
      <c r="I84" s="40" t="n"/>
      <c r="J84" s="40" t="n"/>
      <c r="K84" s="40" t="n"/>
      <c r="L84" s="40" t="n"/>
      <c r="M84" s="40" t="n"/>
      <c r="N84" s="40" t="n"/>
      <c r="O84" s="40" t="n"/>
      <c r="P84" s="40" t="n"/>
      <c r="Q84" s="40" t="n"/>
      <c r="R84" s="40" t="n"/>
      <c r="S84" s="40" t="n"/>
      <c r="T84" s="40" t="n"/>
      <c r="U84" s="40" t="n"/>
      <c r="V84" s="40" t="n"/>
      <c r="W84" s="40" t="n"/>
      <c r="X84" s="44" t="inlineStr">
        <is>
          <t>some links were dead</t>
        </is>
      </c>
    </row>
    <row r="85">
      <c r="A85" s="40" t="inlineStr">
        <is>
          <t>Cables</t>
        </is>
      </c>
      <c r="B85" s="40" t="inlineStr">
        <is>
          <t>Fork Spade Terminal</t>
        </is>
      </c>
      <c r="C85" s="40" t="n"/>
      <c r="D85" s="40" t="n"/>
      <c r="E85" s="40" t="n"/>
      <c r="F85" s="41">
        <f>HYPERLINK("https://www.digikey.com/products/en","Digikey")</f>
        <v/>
      </c>
      <c r="G85" s="40" t="n"/>
      <c r="H85" s="40" t="n"/>
      <c r="I85" s="40" t="n"/>
      <c r="J85" s="40" t="n"/>
      <c r="K85" s="40" t="n"/>
      <c r="L85" s="40" t="n"/>
      <c r="M85" s="40" t="n"/>
      <c r="N85" s="40" t="n"/>
      <c r="O85" s="40" t="n"/>
      <c r="P85" s="40" t="n"/>
      <c r="Q85" s="40" t="n"/>
      <c r="R85" s="40" t="n"/>
      <c r="S85" s="40" t="n"/>
      <c r="T85" s="40" t="n"/>
      <c r="U85" s="40" t="n"/>
      <c r="V85" s="40" t="n"/>
      <c r="W85" s="42" t="inlineStr">
        <is>
          <t>for power supply and SSR</t>
        </is>
      </c>
      <c r="X85" s="40" t="n"/>
    </row>
    <row r="86">
      <c r="A86" s="40" t="inlineStr">
        <is>
          <t>Cables</t>
        </is>
      </c>
      <c r="B86" s="40" t="inlineStr">
        <is>
          <t>Insulated Crimp Receptical</t>
        </is>
      </c>
      <c r="C86" s="40" t="n"/>
      <c r="D86" s="40" t="n"/>
      <c r="E86" s="40" t="n"/>
      <c r="F86" s="41">
        <f>HYPERLINK("https://www.digikey.com/products/en","Digikey")</f>
        <v/>
      </c>
      <c r="G86" s="40" t="n"/>
      <c r="H86" s="43">
        <f>HYPERLINK("https://www.digikey.com/product-detail/en/te-connectivity-amp-connectors/2-520181-2/A27804TR-ND/289246","Digikey")</f>
        <v/>
      </c>
      <c r="I86" s="40" t="n"/>
      <c r="J86" s="40" t="n"/>
      <c r="K86" s="40" t="n"/>
      <c r="L86" s="40" t="n"/>
      <c r="M86" s="40" t="n"/>
      <c r="N86" s="40" t="n"/>
      <c r="O86" s="40" t="n"/>
      <c r="P86" s="40" t="n"/>
      <c r="Q86" s="40" t="n"/>
      <c r="R86" s="40" t="n"/>
      <c r="S86" s="40" t="n"/>
      <c r="T86" s="40" t="n"/>
      <c r="U86" s="40" t="n"/>
      <c r="V86" s="40" t="n"/>
      <c r="W86" s="42" t="inlineStr">
        <is>
          <t>for Power Inlet (6.35mm)</t>
        </is>
      </c>
      <c r="X86" s="40" t="n"/>
    </row>
    <row r="87">
      <c r="A87" s="40" t="inlineStr">
        <is>
          <t>Cables</t>
        </is>
      </c>
      <c r="B87" s="40" t="inlineStr">
        <is>
          <t>Nylon Cable Ties 4"</t>
        </is>
      </c>
      <c r="C87" s="40" t="n"/>
      <c r="D87" s="40" t="n"/>
      <c r="E87" s="40" t="n"/>
      <c r="F87" s="41">
        <f>HYPERLINK("https://amzn.to/2mzoRjl","Amazon")</f>
        <v/>
      </c>
      <c r="G87" s="40" t="n"/>
      <c r="H87" s="40" t="n"/>
      <c r="I87" s="40" t="n"/>
      <c r="J87" s="40" t="n"/>
      <c r="K87" s="40" t="n"/>
      <c r="L87" s="40" t="n"/>
      <c r="M87" s="40" t="n"/>
      <c r="N87" s="40" t="n"/>
      <c r="O87" s="40" t="n"/>
      <c r="P87" s="40" t="n"/>
      <c r="Q87" s="40" t="n"/>
      <c r="R87" s="40" t="n"/>
      <c r="S87" s="40" t="n"/>
      <c r="T87" s="40" t="n"/>
      <c r="U87" s="40" t="n"/>
      <c r="V87" s="40" t="n"/>
      <c r="W87" s="40" t="n"/>
      <c r="X87" s="44" t="inlineStr">
        <is>
          <t>all links were dead</t>
        </is>
      </c>
    </row>
    <row r="88">
      <c r="A88" s="40" t="inlineStr">
        <is>
          <t>Cables</t>
        </is>
      </c>
      <c r="B88" s="40" t="inlineStr">
        <is>
          <t>MicroFit3 Male Pin (43031-0007)</t>
        </is>
      </c>
      <c r="C88" s="40" t="n"/>
      <c r="D88" s="40" t="n"/>
      <c r="E88" s="40" t="n"/>
      <c r="F88" s="41">
        <f>HYPERLINK("https://www.digikey.com/products/en","Digikey")</f>
        <v/>
      </c>
      <c r="G88" s="40" t="n"/>
      <c r="H88" s="40" t="n"/>
      <c r="I88" s="40" t="n"/>
      <c r="J88" s="40" t="n"/>
      <c r="K88" s="40" t="n"/>
      <c r="L88" s="40" t="n"/>
      <c r="M88" s="40" t="n"/>
      <c r="N88" s="40" t="n"/>
      <c r="O88" s="40" t="n"/>
      <c r="P88" s="40" t="n"/>
      <c r="Q88" s="40" t="n"/>
      <c r="R88" s="40" t="n"/>
      <c r="S88" s="40" t="n"/>
      <c r="T88" s="40" t="n"/>
      <c r="U88" s="40" t="n"/>
      <c r="V88" s="40" t="n"/>
      <c r="W88" s="42" t="inlineStr">
        <is>
          <t>This is a good starter kit that has plenty of pins and all of the required connectors. The kit comes with individual part numbers to source individual pieces later if required.</t>
        </is>
      </c>
      <c r="X88" s="40" t="n"/>
    </row>
    <row r="89">
      <c r="A89" s="40" t="inlineStr">
        <is>
          <t>Cables</t>
        </is>
      </c>
      <c r="B89" s="40" t="inlineStr">
        <is>
          <t>MicroFit3 Female Pin (43030-0007)</t>
        </is>
      </c>
      <c r="C89" s="40" t="n"/>
      <c r="D89" s="40" t="n"/>
      <c r="E89" s="40" t="n"/>
      <c r="F89" s="41">
        <f>HYPERLINK("https://www.digikey.com/products/en","Digikey")</f>
        <v/>
      </c>
      <c r="G89" s="40" t="n"/>
      <c r="H89" s="40" t="n"/>
      <c r="I89" s="40" t="n"/>
      <c r="J89" s="40" t="n"/>
      <c r="K89" s="40" t="n"/>
      <c r="L89" s="40" t="n"/>
      <c r="M89" s="40" t="n"/>
      <c r="N89" s="40" t="n"/>
      <c r="O89" s="40" t="n"/>
      <c r="P89" s="40" t="n"/>
      <c r="Q89" s="40" t="n"/>
      <c r="R89" s="40" t="n"/>
      <c r="S89" s="40" t="n"/>
      <c r="T89" s="40" t="n"/>
      <c r="U89" s="40" t="n"/>
      <c r="V89" s="40" t="n"/>
      <c r="W89" s="40" t="n"/>
      <c r="X89" s="40" t="n"/>
    </row>
    <row r="90">
      <c r="A90" s="40" t="inlineStr">
        <is>
          <t>Cables</t>
        </is>
      </c>
      <c r="B90" s="40" t="inlineStr">
        <is>
          <t>MicroFit Connector Receptacle 4 Position (43645-0400)</t>
        </is>
      </c>
      <c r="C90" s="40" t="n"/>
      <c r="D90" s="40" t="n"/>
      <c r="E90" s="40" t="n"/>
      <c r="F90" s="41">
        <f>HYPERLINK("https://www.digikey.com/products/en","Digikey")</f>
        <v/>
      </c>
      <c r="G90" s="40" t="n"/>
      <c r="H90" s="40" t="n"/>
      <c r="I90" s="40" t="n"/>
      <c r="J90" s="40" t="n"/>
      <c r="K90" s="40" t="n"/>
      <c r="L90" s="40" t="n"/>
      <c r="M90" s="40" t="n"/>
      <c r="N90" s="40" t="n"/>
      <c r="O90" s="40" t="n"/>
      <c r="P90" s="40" t="n"/>
      <c r="Q90" s="40" t="n"/>
      <c r="R90" s="40" t="n"/>
      <c r="S90" s="40" t="n"/>
      <c r="T90" s="40" t="n"/>
      <c r="U90" s="40" t="n"/>
      <c r="V90" s="40" t="n"/>
      <c r="W90" s="40" t="n"/>
      <c r="X90" s="40" t="n"/>
    </row>
    <row r="91">
      <c r="A91" s="40" t="inlineStr">
        <is>
          <t>Cables</t>
        </is>
      </c>
      <c r="B91" s="40" t="inlineStr">
        <is>
          <t>MicroFit Connector Receptacle 3 Position (43645-0300)</t>
        </is>
      </c>
      <c r="C91" s="40" t="n"/>
      <c r="D91" s="40" t="n"/>
      <c r="E91" s="40" t="n"/>
      <c r="F91" s="41">
        <f>HYPERLINK("https://www.digikey.com/products/en","Digikey")</f>
        <v/>
      </c>
      <c r="G91" s="40" t="n"/>
      <c r="H91" s="40" t="n"/>
      <c r="I91" s="40" t="n"/>
      <c r="J91" s="40" t="n"/>
      <c r="K91" s="40" t="n"/>
      <c r="L91" s="40" t="n"/>
      <c r="M91" s="40" t="n"/>
      <c r="N91" s="40" t="n"/>
      <c r="O91" s="40" t="n"/>
      <c r="P91" s="40" t="n"/>
      <c r="Q91" s="40" t="n"/>
      <c r="R91" s="40" t="n"/>
      <c r="S91" s="40" t="n"/>
      <c r="T91" s="40" t="n"/>
      <c r="U91" s="40" t="n"/>
      <c r="V91" s="40" t="n"/>
      <c r="W91" s="40" t="n"/>
      <c r="X91" s="40" t="n"/>
    </row>
    <row r="92">
      <c r="A92" s="40" t="inlineStr">
        <is>
          <t>Cables</t>
        </is>
      </c>
      <c r="B92" s="40" t="inlineStr">
        <is>
          <t>MicroFit Connector Receptacle 2 Position (43645-0200)</t>
        </is>
      </c>
      <c r="C92" s="40" t="n"/>
      <c r="D92" s="40" t="n"/>
      <c r="E92" s="40" t="n"/>
      <c r="F92" s="41">
        <f>HYPERLINK("https://www.digikey.com/products/en","Digikey")</f>
        <v/>
      </c>
      <c r="G92" s="40" t="n"/>
      <c r="H92" s="40" t="n"/>
      <c r="I92" s="40" t="n"/>
      <c r="J92" s="40" t="n"/>
      <c r="K92" s="40" t="n"/>
      <c r="L92" s="40" t="n"/>
      <c r="M92" s="40" t="n"/>
      <c r="N92" s="40" t="n"/>
      <c r="O92" s="40" t="n"/>
      <c r="P92" s="40" t="n"/>
      <c r="Q92" s="40" t="n"/>
      <c r="R92" s="40" t="n"/>
      <c r="S92" s="40" t="n"/>
      <c r="T92" s="40" t="n"/>
      <c r="U92" s="40" t="n"/>
      <c r="V92" s="40" t="n"/>
      <c r="W92" s="40" t="n"/>
      <c r="X92" s="40" t="n"/>
    </row>
    <row r="93">
      <c r="A93" s="40" t="inlineStr">
        <is>
          <t>Cables</t>
        </is>
      </c>
      <c r="B93" s="40" t="inlineStr">
        <is>
          <t>MicroFit Connector Plug 4 Position (43640-0401)</t>
        </is>
      </c>
      <c r="C93" s="40" t="n"/>
      <c r="D93" s="40" t="n"/>
      <c r="E93" s="40" t="n"/>
      <c r="F93" s="41">
        <f>HYPERLINK("https://www.digikey.com/products/en","Digikey")</f>
        <v/>
      </c>
      <c r="G93" s="40" t="n"/>
      <c r="H93" s="40" t="n"/>
      <c r="I93" s="40" t="n"/>
      <c r="J93" s="40" t="n"/>
      <c r="K93" s="40" t="n"/>
      <c r="L93" s="40" t="n"/>
      <c r="M93" s="40" t="n"/>
      <c r="N93" s="40" t="n"/>
      <c r="O93" s="40" t="n"/>
      <c r="P93" s="40" t="n"/>
      <c r="Q93" s="40" t="n"/>
      <c r="R93" s="40" t="n"/>
      <c r="S93" s="40" t="n"/>
      <c r="T93" s="40" t="n"/>
      <c r="U93" s="40" t="n"/>
      <c r="V93" s="40" t="n"/>
      <c r="W93" s="40" t="n"/>
      <c r="X93" s="40" t="n"/>
    </row>
    <row r="94">
      <c r="A94" s="40" t="inlineStr">
        <is>
          <t>Cables</t>
        </is>
      </c>
      <c r="B94" s="40" t="inlineStr">
        <is>
          <t>MicroFit Connector Plug 3 Position (43640-0301)</t>
        </is>
      </c>
      <c r="C94" s="40" t="n"/>
      <c r="D94" s="40" t="n"/>
      <c r="E94" s="40" t="n"/>
      <c r="F94" s="41">
        <f>HYPERLINK("https://www.digikey.com/products/en","Digikey")</f>
        <v/>
      </c>
      <c r="G94" s="40" t="n"/>
      <c r="H94" s="40" t="n"/>
      <c r="I94" s="40" t="n"/>
      <c r="J94" s="40" t="n"/>
      <c r="K94" s="40" t="n"/>
      <c r="L94" s="40" t="n"/>
      <c r="M94" s="40" t="n"/>
      <c r="N94" s="40" t="n"/>
      <c r="O94" s="40" t="n"/>
      <c r="P94" s="40" t="n"/>
      <c r="Q94" s="40" t="n"/>
      <c r="R94" s="40" t="n"/>
      <c r="S94" s="40" t="n"/>
      <c r="T94" s="40" t="n"/>
      <c r="U94" s="40" t="n"/>
      <c r="V94" s="40" t="n"/>
      <c r="W94" s="40" t="n"/>
      <c r="X94" s="40" t="n"/>
    </row>
    <row r="95">
      <c r="A95" s="40" t="inlineStr">
        <is>
          <t>Cables</t>
        </is>
      </c>
      <c r="B95" s="40" t="inlineStr">
        <is>
          <t>MicroFit Connector Plug 2 Position (43640-0201)</t>
        </is>
      </c>
      <c r="C95" s="40" t="n"/>
      <c r="D95" s="40" t="n"/>
      <c r="E95" s="40" t="n"/>
      <c r="F95" s="41">
        <f>HYPERLINK("https://www.digikey.com/products/en","Digikey")</f>
        <v/>
      </c>
      <c r="G95" s="40" t="n"/>
      <c r="H95" s="40" t="n"/>
      <c r="I95" s="40" t="n"/>
      <c r="J95" s="40" t="n"/>
      <c r="K95" s="40" t="n"/>
      <c r="L95" s="40" t="n"/>
      <c r="M95" s="40" t="n"/>
      <c r="N95" s="40" t="n"/>
      <c r="O95" s="40" t="n"/>
      <c r="P95" s="40" t="n"/>
      <c r="Q95" s="40" t="n"/>
      <c r="R95" s="40" t="n"/>
      <c r="S95" s="40" t="n"/>
      <c r="T95" s="40" t="n"/>
      <c r="U95" s="40" t="n"/>
      <c r="V95" s="40" t="n"/>
      <c r="W95" s="40" t="n"/>
      <c r="X95" s="40" t="n"/>
    </row>
    <row r="96">
      <c r="A96" s="40" t="inlineStr">
        <is>
          <t>Cables</t>
        </is>
      </c>
      <c r="B96" s="40" t="inlineStr">
        <is>
          <t>MLX Power Receptacle 3 Position (50-84-2030)</t>
        </is>
      </c>
      <c r="C96" s="40" t="n"/>
      <c r="D96" s="40" t="inlineStr">
        <is>
          <t>1</t>
        </is>
      </c>
      <c r="E96" s="40" t="inlineStr">
        <is>
          <t>All</t>
        </is>
      </c>
      <c r="F96" s="41">
        <f>HYPERLINK("https://www.digikey.com/products/en","Digikey")</f>
        <v/>
      </c>
      <c r="G96" s="40" t="n"/>
      <c r="H96" s="40" t="n"/>
      <c r="I96" s="40" t="n"/>
      <c r="J96" s="40" t="n"/>
      <c r="K96" s="40" t="n"/>
      <c r="L96" s="40" t="n"/>
      <c r="M96" s="40" t="n"/>
      <c r="N96" s="40" t="n"/>
      <c r="O96" s="40" t="n"/>
      <c r="P96" s="40" t="n"/>
      <c r="Q96" s="40" t="n"/>
      <c r="R96" s="40" t="n"/>
      <c r="S96" s="40" t="n"/>
      <c r="T96" s="40" t="n"/>
      <c r="U96" s="40" t="n"/>
      <c r="V96" s="40" t="n"/>
      <c r="W96" s="42" t="inlineStr">
        <is>
          <t>For Bed (Line, Neutral and Ground)</t>
        </is>
      </c>
      <c r="X96" s="40" t="n"/>
    </row>
    <row r="97">
      <c r="A97" s="40" t="inlineStr">
        <is>
          <t>Cables</t>
        </is>
      </c>
      <c r="B97" s="40" t="inlineStr">
        <is>
          <t>MLX Power Plug 3 Position (50-84-1030)</t>
        </is>
      </c>
      <c r="C97" s="40" t="n"/>
      <c r="D97" s="40" t="inlineStr">
        <is>
          <t>1</t>
        </is>
      </c>
      <c r="E97" s="40" t="inlineStr">
        <is>
          <t>All</t>
        </is>
      </c>
      <c r="F97" s="41">
        <f>HYPERLINK("https://www.digikey.com/products/en","Digikey")</f>
        <v/>
      </c>
      <c r="G97" s="40" t="n"/>
      <c r="H97" s="40" t="n"/>
      <c r="I97" s="40" t="n"/>
      <c r="J97" s="40" t="n"/>
      <c r="K97" s="40" t="n"/>
      <c r="L97" s="40" t="n"/>
      <c r="M97" s="40" t="n"/>
      <c r="N97" s="40" t="n"/>
      <c r="O97" s="40" t="n"/>
      <c r="P97" s="40" t="n"/>
      <c r="Q97" s="40" t="n"/>
      <c r="R97" s="40" t="n"/>
      <c r="S97" s="40" t="n"/>
      <c r="T97" s="40" t="n"/>
      <c r="U97" s="40" t="n"/>
      <c r="V97" s="40" t="n"/>
      <c r="W97" s="40" t="n"/>
      <c r="X97" s="40" t="n"/>
    </row>
    <row r="98">
      <c r="A98" s="40" t="inlineStr">
        <is>
          <t>Cables</t>
        </is>
      </c>
      <c r="B98" s="40" t="inlineStr">
        <is>
          <t>MLX Male Pin (02-08-2004)</t>
        </is>
      </c>
      <c r="C98" s="40" t="n"/>
      <c r="D98" s="40" t="inlineStr">
        <is>
          <t>3</t>
        </is>
      </c>
      <c r="E98" s="40" t="inlineStr">
        <is>
          <t>All</t>
        </is>
      </c>
      <c r="F98" s="41">
        <f>HYPERLINK("https://www.digikey.com/products/en","Digikey")</f>
        <v/>
      </c>
      <c r="G98" s="40" t="n"/>
      <c r="H98" s="40" t="n"/>
      <c r="I98" s="40" t="n"/>
      <c r="J98" s="40" t="n"/>
      <c r="K98" s="40" t="n"/>
      <c r="L98" s="40" t="n"/>
      <c r="M98" s="40" t="n"/>
      <c r="N98" s="40" t="n"/>
      <c r="O98" s="40" t="n"/>
      <c r="P98" s="40" t="n"/>
      <c r="Q98" s="40" t="n"/>
      <c r="R98" s="40" t="n"/>
      <c r="S98" s="40" t="n"/>
      <c r="T98" s="40" t="n"/>
      <c r="U98" s="40" t="n"/>
      <c r="V98" s="40" t="n"/>
      <c r="W98" s="40" t="n"/>
      <c r="X98" s="40" t="n"/>
    </row>
    <row r="99">
      <c r="A99" s="40" t="inlineStr">
        <is>
          <t>Cables</t>
        </is>
      </c>
      <c r="B99" s="40" t="inlineStr">
        <is>
          <t>MLX Female Pin (02-08-1002)</t>
        </is>
      </c>
      <c r="C99" s="40" t="n"/>
      <c r="D99" s="40" t="inlineStr">
        <is>
          <t>3</t>
        </is>
      </c>
      <c r="E99" s="40" t="inlineStr">
        <is>
          <t>All</t>
        </is>
      </c>
      <c r="F99" s="41">
        <f>HYPERLINK("https://www.digikey.com/products/en","Digikey")</f>
        <v/>
      </c>
      <c r="G99" s="40" t="n"/>
      <c r="H99" s="40" t="n"/>
      <c r="I99" s="40" t="n"/>
      <c r="J99" s="40" t="n"/>
      <c r="K99" s="40" t="n"/>
      <c r="L99" s="40" t="n"/>
      <c r="M99" s="40" t="n"/>
      <c r="N99" s="40" t="n"/>
      <c r="O99" s="40" t="n"/>
      <c r="P99" s="40" t="n"/>
      <c r="Q99" s="40" t="n"/>
      <c r="R99" s="40" t="n"/>
      <c r="S99" s="40" t="n"/>
      <c r="T99" s="40" t="n"/>
      <c r="U99" s="40" t="n"/>
      <c r="V99" s="40" t="n"/>
      <c r="W99" s="40" t="n"/>
      <c r="X99" s="40" t="n"/>
    </row>
    <row r="100">
      <c r="A100" s="40" t="inlineStr">
        <is>
          <t>Cables</t>
        </is>
      </c>
      <c r="B100" s="40" t="inlineStr">
        <is>
          <t>JST-XH Female Pin</t>
        </is>
      </c>
      <c r="C100" s="40" t="n"/>
      <c r="D100" s="40" t="inlineStr">
        <is>
          <t>40</t>
        </is>
      </c>
      <c r="E100" s="40" t="inlineStr">
        <is>
          <t>All</t>
        </is>
      </c>
      <c r="F100" s="41">
        <f>HYPERLINK("https://www.digikey.com/product-detail/en/amphenol-icc-fci/47649-000LF/609-3614-1-ND/2044035","Digikey")</f>
        <v/>
      </c>
      <c r="G100" s="40" t="n"/>
      <c r="H100" s="43">
        <f>HYPERLINK("https://www.amazon.com/dp/B015Y6JOUG","Amazon")</f>
        <v/>
      </c>
      <c r="I100" s="40" t="n"/>
      <c r="J100" s="43">
        <f>HYPERLINK("https://www.amazon.com/dp/B01G0I0ZZK","Amazon")</f>
        <v/>
      </c>
      <c r="K100" s="43">
        <f>HYPERLINK("https://amzn.to/2l5ZXY8","[Affiliate Link]")</f>
        <v/>
      </c>
      <c r="L100" s="40" t="n"/>
      <c r="M100" s="40" t="n"/>
      <c r="N100" s="40" t="n"/>
      <c r="O100" s="40" t="n"/>
      <c r="P100" s="40" t="n"/>
      <c r="Q100" s="40" t="n"/>
      <c r="R100" s="40" t="n"/>
      <c r="S100" s="40" t="n"/>
      <c r="T100" s="40" t="n"/>
      <c r="U100" s="40" t="n"/>
      <c r="V100" s="40" t="n"/>
      <c r="W100" s="42" t="inlineStr">
        <is>
          <t>for RAMPs boards only, see optional parts for other controllers</t>
        </is>
      </c>
      <c r="X100" s="40" t="n"/>
    </row>
    <row r="101">
      <c r="A101" s="40" t="inlineStr">
        <is>
          <t>Cables</t>
        </is>
      </c>
      <c r="B101" s="40" t="inlineStr">
        <is>
          <t>JST-XH Connector Plug 4 Position</t>
        </is>
      </c>
      <c r="C101" s="40" t="n"/>
      <c r="D101" s="40" t="inlineStr">
        <is>
          <t>5</t>
        </is>
      </c>
      <c r="E101" s="40" t="inlineStr">
        <is>
          <t>All</t>
        </is>
      </c>
      <c r="F101" s="41">
        <f>HYPERLINK("https://www.digikey.com/product-detail/en/amphenol-icc-fci/65039-033ELF/609-5481-ND/4272532","Digikey")</f>
        <v/>
      </c>
      <c r="G101" s="40" t="n"/>
      <c r="H101" s="40" t="n"/>
      <c r="I101" s="40" t="n"/>
      <c r="J101" s="40" t="n"/>
      <c r="K101" s="40" t="n"/>
      <c r="L101" s="40" t="n"/>
      <c r="M101" s="40" t="n"/>
      <c r="N101" s="40" t="n"/>
      <c r="O101" s="40" t="n"/>
      <c r="P101" s="40" t="n"/>
      <c r="Q101" s="40" t="n"/>
      <c r="R101" s="40" t="n"/>
      <c r="S101" s="40" t="n"/>
      <c r="T101" s="40" t="n"/>
      <c r="U101" s="40" t="n"/>
      <c r="V101" s="40" t="n"/>
      <c r="W101" s="40" t="n"/>
      <c r="X101" s="40" t="n"/>
    </row>
    <row r="102">
      <c r="A102" s="40" t="inlineStr">
        <is>
          <t>Cables</t>
        </is>
      </c>
      <c r="B102" s="40" t="inlineStr">
        <is>
          <t>JST-XH Connector Plug 3 Position</t>
        </is>
      </c>
      <c r="C102" s="40" t="n"/>
      <c r="D102" s="40" t="inlineStr">
        <is>
          <t>4</t>
        </is>
      </c>
      <c r="E102" s="40" t="inlineStr">
        <is>
          <t>All</t>
        </is>
      </c>
      <c r="F102" s="41">
        <f>HYPERLINK("https://www.digikey.com/product-detail/en/amphenol-icc-fci/65039-034ELF/609-5482-ND/4272533","Digikey")</f>
        <v/>
      </c>
      <c r="G102" s="40" t="n"/>
      <c r="H102" s="40" t="n"/>
      <c r="I102" s="40" t="n"/>
      <c r="J102" s="40" t="n"/>
      <c r="K102" s="40" t="n"/>
      <c r="L102" s="40" t="n"/>
      <c r="M102" s="40" t="n"/>
      <c r="N102" s="40" t="n"/>
      <c r="O102" s="40" t="n"/>
      <c r="P102" s="40" t="n"/>
      <c r="Q102" s="40" t="n"/>
      <c r="R102" s="40" t="n"/>
      <c r="S102" s="40" t="n"/>
      <c r="T102" s="40" t="n"/>
      <c r="U102" s="40" t="n"/>
      <c r="V102" s="40" t="n"/>
      <c r="W102" s="40" t="n"/>
      <c r="X102" s="40" t="n"/>
    </row>
    <row r="103">
      <c r="A103" s="40" t="inlineStr">
        <is>
          <t>Cables</t>
        </is>
      </c>
      <c r="B103" s="40" t="inlineStr">
        <is>
          <t>JST-XH Connector Plug 2 Position</t>
        </is>
      </c>
      <c r="C103" s="40" t="n"/>
      <c r="D103" s="40" t="inlineStr">
        <is>
          <t>4</t>
        </is>
      </c>
      <c r="E103" s="40" t="inlineStr">
        <is>
          <t>All</t>
        </is>
      </c>
      <c r="F103" s="41">
        <f>HYPERLINK("https://www.digikey.com/product-detail/en/amphenol-icc-fci/65039-035ELF/609-5483-ND/4272534","Digikey")</f>
        <v/>
      </c>
      <c r="G103" s="40" t="n"/>
      <c r="H103" s="40" t="n"/>
      <c r="I103" s="40" t="n"/>
      <c r="J103" s="40" t="n"/>
      <c r="K103" s="40" t="n"/>
      <c r="L103" s="40" t="n"/>
      <c r="M103" s="40" t="n"/>
      <c r="N103" s="40" t="n"/>
      <c r="O103" s="40" t="n"/>
      <c r="P103" s="40" t="n"/>
      <c r="Q103" s="40" t="n"/>
      <c r="R103" s="40" t="n"/>
      <c r="S103" s="40" t="n"/>
      <c r="T103" s="40" t="n"/>
      <c r="U103" s="40" t="n"/>
      <c r="V103" s="40" t="n"/>
      <c r="W103" s="40" t="n"/>
      <c r="X103" s="40" t="n"/>
    </row>
    <row r="104">
      <c r="A104" s="40" t="inlineStr">
        <is>
          <t>Cables</t>
        </is>
      </c>
      <c r="B104" s="40" t="inlineStr">
        <is>
          <t>Dupont Female Pin</t>
        </is>
      </c>
      <c r="C104" s="40" t="n"/>
      <c r="D104" s="40" t="inlineStr">
        <is>
          <t>2</t>
        </is>
      </c>
      <c r="E104" s="40" t="inlineStr">
        <is>
          <t>All</t>
        </is>
      </c>
      <c r="F104" s="41">
        <f>HYPERLINK("https://www.digikey.com/product-detail/en/amphenol-icc-fci/47649-000LF/609-3614-1-ND/2044035","Digikey")</f>
        <v/>
      </c>
      <c r="G104" s="40" t="n"/>
      <c r="H104" s="43">
        <f>HYPERLINK("https://www.amazon.com/dp/B01G0I0ZZK","Amazon")</f>
        <v/>
      </c>
      <c r="I104" s="43">
        <f>HYPERLINK("https://amzn.to/2l5ZXY8","[Affiliate Link]")</f>
        <v/>
      </c>
      <c r="J104" s="40" t="n"/>
      <c r="K104" s="40" t="n"/>
      <c r="L104" s="40" t="n"/>
      <c r="M104" s="40" t="n"/>
      <c r="N104" s="40" t="n"/>
      <c r="O104" s="40" t="n"/>
      <c r="P104" s="40" t="n"/>
      <c r="Q104" s="40" t="n"/>
      <c r="R104" s="40" t="n"/>
      <c r="S104" s="40" t="n"/>
      <c r="T104" s="40" t="n"/>
      <c r="U104" s="40" t="n"/>
      <c r="V104" s="40" t="n"/>
      <c r="W104" s="40" t="n"/>
      <c r="X104" s="40" t="n"/>
    </row>
    <row r="105">
      <c r="A105" s="40" t="inlineStr">
        <is>
          <t>Cables</t>
        </is>
      </c>
      <c r="B105" s="40" t="inlineStr">
        <is>
          <t>Dupont 2 Pin Connector</t>
        </is>
      </c>
      <c r="C105" s="40" t="n"/>
      <c r="D105" s="40" t="inlineStr">
        <is>
          <t>1</t>
        </is>
      </c>
      <c r="E105" s="40" t="inlineStr">
        <is>
          <t>All</t>
        </is>
      </c>
      <c r="F105" s="40" t="n"/>
      <c r="G105" s="40" t="n"/>
      <c r="H105" s="40" t="n"/>
      <c r="I105" s="40" t="n"/>
      <c r="J105" s="40" t="n"/>
      <c r="K105" s="40" t="n"/>
      <c r="L105" s="40" t="n"/>
      <c r="M105" s="40" t="n"/>
      <c r="N105" s="40" t="n"/>
      <c r="O105" s="40" t="n"/>
      <c r="P105" s="40" t="n"/>
      <c r="Q105" s="40" t="n"/>
      <c r="R105" s="40" t="n"/>
      <c r="S105" s="40" t="n"/>
      <c r="T105" s="40" t="n"/>
      <c r="U105" s="40" t="n"/>
      <c r="V105" s="40" t="n"/>
      <c r="W105" s="42" t="inlineStr">
        <is>
          <t>For feeding power into the Pi</t>
        </is>
      </c>
      <c r="X105" s="40" t="n"/>
    </row>
    <row r="106">
      <c r="A106" s="40" t="inlineStr">
        <is>
          <t>Cables</t>
        </is>
      </c>
      <c r="B106" s="40" t="inlineStr">
        <is>
          <t>24AWG Silicone Cable (50ft total)</t>
        </is>
      </c>
      <c r="C106" s="40" t="n"/>
      <c r="D106" s="40" t="inlineStr">
        <is>
          <t>1</t>
        </is>
      </c>
      <c r="E106" s="40" t="inlineStr">
        <is>
          <t>All</t>
        </is>
      </c>
      <c r="F106" s="41">
        <f>HYPERLINK("https://www.aliexpress.com/item/32872395185.html","Striveday")</f>
        <v/>
      </c>
      <c r="G106" s="43">
        <f>HYPERLINK("https://s.click.aliexpress.com/e/kzE6vJLi","[Affiliate Link]")</f>
        <v/>
      </c>
      <c r="H106" s="43">
        <f>HYPERLINK("https://www.amazon.com/dp/B01LH1G2IE","Striveday")</f>
        <v/>
      </c>
      <c r="I106" s="40" t="n"/>
      <c r="J106" s="40" t="n"/>
      <c r="K106" s="40" t="n"/>
      <c r="L106" s="40" t="n"/>
      <c r="M106" s="40" t="n"/>
      <c r="N106" s="40" t="n"/>
      <c r="O106" s="40" t="n"/>
      <c r="P106" s="40" t="n"/>
      <c r="Q106" s="40" t="n"/>
      <c r="R106" s="40" t="n"/>
      <c r="S106" s="40" t="n"/>
      <c r="T106" s="40" t="n"/>
      <c r="U106" s="40" t="n"/>
      <c r="V106" s="40" t="n"/>
      <c r="W106" s="42" t="inlineStr">
        <is>
          <t>Since Lian has 4-6 conductor ribbon cable in a few difference sizes, makes wiring a bit easier through the cable chains. Always buy extras, lengths are approximate</t>
        </is>
      </c>
      <c r="X106" s="44" t="inlineStr">
        <is>
          <t>some links were dead</t>
        </is>
      </c>
    </row>
    <row r="107">
      <c r="A107" s="40" t="inlineStr">
        <is>
          <t>Cables</t>
        </is>
      </c>
      <c r="B107" s="40" t="inlineStr">
        <is>
          <t>20AWG Silicone Cable (25ft total)</t>
        </is>
      </c>
      <c r="C107" s="40" t="n"/>
      <c r="D107" s="40" t="inlineStr">
        <is>
          <t>1</t>
        </is>
      </c>
      <c r="E107" s="40" t="inlineStr">
        <is>
          <t>All</t>
        </is>
      </c>
      <c r="F107" s="40" t="n"/>
      <c r="G107" s="40" t="n"/>
      <c r="H107" s="40" t="n"/>
      <c r="I107" s="40" t="n"/>
      <c r="J107" s="40" t="n"/>
      <c r="K107" s="40" t="n"/>
      <c r="L107" s="40" t="n"/>
      <c r="M107" s="40" t="n"/>
      <c r="N107" s="40" t="n"/>
      <c r="O107" s="40" t="n"/>
      <c r="P107" s="40" t="n"/>
      <c r="Q107" s="40" t="n"/>
      <c r="R107" s="40" t="n"/>
      <c r="S107" s="40" t="n"/>
      <c r="T107" s="40" t="n"/>
      <c r="U107" s="40" t="n"/>
      <c r="V107" s="40" t="n"/>
      <c r="W107" s="40" t="n"/>
      <c r="X107" s="44" t="inlineStr">
        <is>
          <t>all links were dead</t>
        </is>
      </c>
    </row>
    <row r="108">
      <c r="A108" s="45" t="inlineStr">
        <is>
          <t>Panels</t>
        </is>
      </c>
      <c r="B108" s="45" t="inlineStr">
        <is>
          <t>Bottom/Back/Electronics Bay Panels</t>
        </is>
      </c>
      <c r="C108" s="45" t="n"/>
      <c r="D108" s="45" t="n"/>
      <c r="E108" s="45" t="n"/>
      <c r="F108" s="46">
        <f>HYPERLINK("https://www.michaels.com/corrugated-board-by-creatology/M10567770.html","Michaels Craft Store (Coroplast)")</f>
        <v/>
      </c>
      <c r="G108" s="45" t="n"/>
      <c r="H108" s="47">
        <f>HYPERLINK("https://www.mnlasercutting.com/","MN Laser Cutting")</f>
        <v/>
      </c>
      <c r="I108" s="45" t="n"/>
      <c r="J108" s="45" t="n"/>
      <c r="K108" s="45" t="n"/>
      <c r="L108" s="45" t="n"/>
      <c r="M108" s="45" t="n"/>
      <c r="N108" s="45" t="n"/>
      <c r="O108" s="45" t="n"/>
      <c r="P108" s="45" t="n"/>
      <c r="Q108" s="45" t="n"/>
      <c r="R108" s="45" t="n"/>
      <c r="S108" s="45" t="n"/>
      <c r="T108" s="45" t="n"/>
      <c r="U108" s="45" t="n"/>
      <c r="V108" s="45" t="n"/>
      <c r="W108" s="54" t="inlineStr">
        <is>
          <t>ABS Sheets are a common replacement that are also easy to cut and offer a more rigid surface for the deck plate that can have components mounted directly to it</t>
        </is>
      </c>
      <c r="X108" s="45" t="n"/>
    </row>
    <row r="109">
      <c r="A109" s="45" t="inlineStr">
        <is>
          <t>Panels</t>
        </is>
      </c>
      <c r="B109" s="45" t="inlineStr">
        <is>
          <t>Side/Front/Top Polycarbonate Panels</t>
        </is>
      </c>
      <c r="C109" s="45" t="n"/>
      <c r="D109" s="45" t="n"/>
      <c r="E109" s="45" t="n"/>
      <c r="F109" s="46">
        <f>HYPERLINK("https://www.tapplastics.com/product/plastics/cut_to_size_plastic/polycarbonate_sheets/516","TAP Plastics (Polycarbonate)")</f>
        <v/>
      </c>
      <c r="G109" s="45" t="n"/>
      <c r="H109" s="45" t="n"/>
      <c r="I109" s="45" t="n"/>
      <c r="J109" s="45" t="n"/>
      <c r="K109" s="45" t="n"/>
      <c r="L109" s="45" t="n"/>
      <c r="M109" s="45" t="n"/>
      <c r="N109" s="45" t="n"/>
      <c r="O109" s="45" t="n"/>
      <c r="P109" s="45" t="n"/>
      <c r="Q109" s="45" t="n"/>
      <c r="R109" s="45" t="n"/>
      <c r="S109" s="45" t="n"/>
      <c r="T109" s="45" t="n"/>
      <c r="U109" s="45" t="n"/>
      <c r="V109" s="45" t="n"/>
      <c r="W109" s="45" t="n"/>
      <c r="X109" s="45" t="n"/>
    </row>
    <row r="110">
      <c r="A110" s="48" t="inlineStr">
        <is>
          <t>Buildplate</t>
        </is>
      </c>
      <c r="B110" s="48" t="inlineStr">
        <is>
          <t>Aluminum Build Plate (MIC6/ATP-5/Jig Plate/etc) (5/16in or 8mm depending on whats available in your country)</t>
        </is>
      </c>
      <c r="C110" s="48" t="n"/>
      <c r="D110" s="48" t="inlineStr">
        <is>
          <t>10x10"</t>
        </is>
      </c>
      <c r="E110" s="48" t="inlineStr">
        <is>
          <t>250</t>
        </is>
      </c>
      <c r="F110" s="49">
        <f>HYPERLINK("https://clever3d.de/epages/7a4290fc-7c7f-46cc-9b99-eadef22228e2.sf/en_US?ObjectPath=%2FShops%2F7a4290fc-7c7f-46cc-9b99-eadef22228e2%2FProducts%2FAluGuss8mm","Clever3D.de")</f>
        <v/>
      </c>
      <c r="G110" s="48" t="n"/>
      <c r="H110" s="48" t="n"/>
      <c r="I110" s="48" t="n"/>
      <c r="J110" s="48" t="n"/>
      <c r="K110" s="48" t="n"/>
      <c r="L110" s="48" t="n"/>
      <c r="M110" s="48" t="n"/>
      <c r="N110" s="48" t="n"/>
      <c r="O110" s="48" t="n"/>
      <c r="P110" s="48" t="n"/>
      <c r="Q110" s="48" t="n"/>
      <c r="R110" s="48" t="n"/>
      <c r="S110" s="48" t="n"/>
      <c r="T110" s="48" t="n"/>
      <c r="U110" s="48" t="n"/>
      <c r="V110" s="48" t="n"/>
      <c r="W110" s="50" t="inlineStr">
        <is>
          <t>Thicker material is fine too, just keep in mind your heat up times will greatly increase</t>
        </is>
      </c>
      <c r="X110" s="48" t="n"/>
    </row>
    <row r="111">
      <c r="A111" s="48" t="inlineStr">
        <is>
          <t>Buildplate</t>
        </is>
      </c>
      <c r="B111" s="48" t="inlineStr">
        <is>
          <t>Aluminum Build Plate (MIC6/ATP-5/Jig Plate/etc) (5/16in or 8mm depending on whats available in your country)</t>
        </is>
      </c>
      <c r="C111" s="48" t="n"/>
      <c r="D111" s="48" t="inlineStr">
        <is>
          <t>12x12"</t>
        </is>
      </c>
      <c r="E111" s="48" t="inlineStr">
        <is>
          <t>300</t>
        </is>
      </c>
      <c r="F111" s="49">
        <f>HYPERLINK("https://clever3d.de/epages/7a4290fc-7c7f-46cc-9b99-eadef22228e2.sf/en_US?ObjectPath=%2FShops%2F7a4290fc-7c7f-46cc-9b99-eadef22228e2%2FProducts%2FAluGuss8mm","Clever3D.de")</f>
        <v/>
      </c>
      <c r="G111" s="48" t="n"/>
      <c r="H111" s="48" t="n"/>
      <c r="I111" s="48" t="n"/>
      <c r="J111" s="48" t="n"/>
      <c r="K111" s="48" t="n"/>
      <c r="L111" s="48" t="n"/>
      <c r="M111" s="48" t="n"/>
      <c r="N111" s="48" t="n"/>
      <c r="O111" s="48" t="n"/>
      <c r="P111" s="48" t="n"/>
      <c r="Q111" s="48" t="n"/>
      <c r="R111" s="48" t="n"/>
      <c r="S111" s="48" t="n"/>
      <c r="T111" s="48" t="n"/>
      <c r="U111" s="48" t="n"/>
      <c r="V111" s="48" t="n"/>
      <c r="W111" s="50" t="inlineStr">
        <is>
          <t>Thicker material is fine too, just keep in mind your heat up times will greatly increase</t>
        </is>
      </c>
      <c r="X111" s="48" t="n"/>
    </row>
    <row r="112">
      <c r="A112" s="48" t="inlineStr">
        <is>
          <t>Buildplate</t>
        </is>
      </c>
      <c r="B112" s="48" t="inlineStr">
        <is>
          <t>Silicone AC Heater 200x200mm</t>
        </is>
      </c>
      <c r="C112" s="48" t="n"/>
      <c r="D112" s="48" t="n"/>
      <c r="E112" s="48" t="n"/>
      <c r="F112" s="49">
        <f>HYPERLINK("https://keenovo.store/collections/standard-keenovo-silicone-heaters/products/keenovo-square-silicone-heater-3d-printer-build-plate-heatbed-heating-pad?variant=8324020731959","Keenovo (120v)")</f>
        <v/>
      </c>
      <c r="G112" s="48" t="n"/>
      <c r="H112" s="51">
        <f>HYPERLINK("https://keenovo.store/collections/standard-keenovo-silicone-heaters/products/keenovo-square-silicone-heater-3d-printer-build-plate-heatbed-heating-pad?variant=8324020764727","Keenovo (220v)")</f>
        <v/>
      </c>
      <c r="I112" s="48" t="n"/>
      <c r="J112" s="48" t="n"/>
      <c r="K112" s="48" t="n"/>
      <c r="L112" s="48" t="n"/>
      <c r="M112" s="48" t="n"/>
      <c r="N112" s="48" t="n"/>
      <c r="O112" s="48" t="n"/>
      <c r="P112" s="48" t="n"/>
      <c r="Q112" s="48" t="n"/>
      <c r="R112" s="48" t="n"/>
      <c r="S112" s="48" t="n"/>
      <c r="T112" s="48" t="n"/>
      <c r="U112" s="48" t="n"/>
      <c r="V112" s="48" t="n"/>
      <c r="W112" s="50" t="inlineStr">
        <is>
          <t>The heater size and power rating are not critical to have exactly at spec. The mat needs to be smaller than the bed so you have room for mounting hardware and an external thermal fuse. If the mat is underpowered, it will take longer to heat your bed. If it is overpowered, you can use firmware control to have it use less power. Using an overpowered heater at max power will heat your bed faster but make it more prone to warping. Choose an AC voltage suitable for your region.</t>
        </is>
      </c>
      <c r="X112" s="48" t="n"/>
    </row>
    <row r="113">
      <c r="A113" s="48" t="inlineStr">
        <is>
          <t>Buildplate</t>
        </is>
      </c>
      <c r="B113" s="48" t="inlineStr">
        <is>
          <t>Silicone AC Heater 240x240mm</t>
        </is>
      </c>
      <c r="C113" s="48" t="n"/>
      <c r="D113" s="48" t="n"/>
      <c r="E113" s="48" t="n"/>
      <c r="F113" s="49">
        <f>HYPERLINK("https://keenovo.store/collections/standard-keenovo-silicone-heaters/products/keenovo-square-silicone-heater-3d-printer-build-plate-heatbed-heating-pad?variant=8324020928567","Keenovo (120v)")</f>
        <v/>
      </c>
      <c r="G113" s="48" t="n"/>
      <c r="H113" s="51">
        <f>HYPERLINK("https://keenovo.store/collections/standard-keenovo-silicone-heaters/products/keenovo-square-silicone-heater-3d-printer-build-plate-heatbed-heating-pad?variant=8324020961335","Keenovo (220v)")</f>
        <v/>
      </c>
      <c r="I113" s="48" t="n"/>
      <c r="J113" s="48" t="n"/>
      <c r="K113" s="48" t="n"/>
      <c r="L113" s="48" t="n"/>
      <c r="M113" s="48" t="n"/>
      <c r="N113" s="48" t="n"/>
      <c r="O113" s="48" t="n"/>
      <c r="P113" s="48" t="n"/>
      <c r="Q113" s="48" t="n"/>
      <c r="R113" s="48" t="n"/>
      <c r="S113" s="48" t="n"/>
      <c r="T113" s="48" t="n"/>
      <c r="U113" s="48" t="n"/>
      <c r="V113" s="48" t="n"/>
      <c r="W113" s="48" t="n"/>
      <c r="X113" s="48" t="n"/>
    </row>
    <row r="114">
      <c r="A114" s="48" t="inlineStr">
        <is>
          <t>Buildplate</t>
        </is>
      </c>
      <c r="B114" s="48" t="inlineStr">
        <is>
          <t>PEI + 3M 468P (200MP)</t>
        </is>
      </c>
      <c r="C114" s="48" t="n"/>
      <c r="D114" s="48" t="n"/>
      <c r="E114" s="48" t="n"/>
      <c r="F114" s="49">
        <f>HYPERLINK("https://catalog.cshyde.com/item/pei-ultem/int-surface-10-mil-ultem-pei-w-3m-acrylic-adhesive/36-10a-3d-9-84-12-40","CSHyde (Trim)")</f>
        <v/>
      </c>
      <c r="G114" s="48" t="n"/>
      <c r="H114" s="51">
        <f>HYPERLINK("https://catalog.cshyde.com/item/pei-ultem/int-surface-10-mil-ultem-pei-w-3m-acrylic-adhesive/36-10a-3d-12x12","CSHyde")</f>
        <v/>
      </c>
      <c r="I114" s="48" t="n"/>
      <c r="J114" s="51">
        <f>HYPERLINK("https://catalog.cshyde.com/item/pei-sheet-3d-printing-build-surface/10-mil-ultem-pei-w-3m-acrylic-adhesive/36-10a-3d-4-7x4-7","CS Hyde")</f>
        <v/>
      </c>
      <c r="K114" s="48" t="n"/>
      <c r="L114" s="51">
        <f>HYPERLINK("https://catalog.cshyde.com/item/pei-ultem/int-surface-10-mil-ultem-pei-w-3m-acrylic-adhesive/36-10a-3d-14x14","CSHyde")</f>
        <v/>
      </c>
      <c r="M114" s="48" t="n"/>
      <c r="N114" s="48" t="n"/>
      <c r="O114" s="48" t="n"/>
      <c r="P114" s="48" t="n"/>
      <c r="Q114" s="48" t="n"/>
      <c r="R114" s="48" t="n"/>
      <c r="S114" s="48" t="n"/>
      <c r="T114" s="48" t="n"/>
      <c r="U114" s="48" t="n"/>
      <c r="V114" s="48" t="n"/>
      <c r="W114" s="48" t="n"/>
      <c r="X114" s="52" t="inlineStr">
        <is>
          <t>some links were dead</t>
        </is>
      </c>
    </row>
    <row r="115">
      <c r="B115" s="53" t="inlineStr">
        <is>
          <t>"As an Amazon Associate we earn from qualifying purchases.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38"/>
  <sheetViews>
    <sheetView workbookViewId="0">
      <pane ySplit="1" topLeftCell="A2" activePane="bottomLeft" state="frozen"/>
      <selection pane="bottomLeft" activeCell="A1" sqref="A1"/>
    </sheetView>
  </sheetViews>
  <sheetFormatPr baseColWidth="8" defaultRowHeight="15"/>
  <cols>
    <col width="19.9" customWidth="1" min="1" max="1"/>
    <col width="34.5" customWidth="1" min="2" max="2"/>
    <col width="17.1" customWidth="1" min="3" max="3"/>
    <col width="7" customWidth="1" min="4" max="4"/>
    <col width="8.5" customWidth="1" min="5" max="5"/>
    <col width="20" customWidth="1" min="6" max="6"/>
    <col width="15" customWidth="1" min="7" max="7"/>
    <col width="20" customWidth="1" min="8" max="8"/>
    <col width="15" customWidth="1" min="9" max="9"/>
    <col width="20" customWidth="1" min="10" max="10"/>
    <col width="15" customWidth="1" min="11" max="11"/>
    <col width="20" customWidth="1" min="12" max="12"/>
    <col width="15" customWidth="1" min="13" max="13"/>
    <col width="20" customWidth="1" min="14" max="14"/>
    <col width="15" customWidth="1" min="15" max="15"/>
    <col width="20" customWidth="1" min="16" max="16"/>
    <col width="90" customWidth="1" min="17" max="17"/>
    <col width="20" customWidth="1" min="18" max="18"/>
  </cols>
  <sheetData>
    <row r="1">
      <c r="A1" s="3" t="inlineStr">
        <is>
          <t>Category</t>
        </is>
      </c>
      <c r="B1" s="3" t="inlineStr">
        <is>
          <t>Component</t>
        </is>
      </c>
      <c r="C1" s="3" t="inlineStr">
        <is>
          <t>Standard</t>
        </is>
      </c>
      <c r="D1" s="3" t="inlineStr">
        <is>
          <t>Qty</t>
        </is>
      </c>
      <c r="E1" s="3" t="inlineStr">
        <is>
          <t>Size</t>
        </is>
      </c>
      <c r="F1" s="4" t="inlineStr">
        <is>
          <t>Recommended</t>
        </is>
      </c>
      <c r="G1" s="3" t="inlineStr"/>
      <c r="H1" s="4" t="inlineStr">
        <is>
          <t>Alternative Source</t>
        </is>
      </c>
      <c r="I1" s="3" t="inlineStr"/>
      <c r="J1" s="4" t="inlineStr">
        <is>
          <t>Alternative Source 2</t>
        </is>
      </c>
      <c r="K1" s="3" t="inlineStr"/>
      <c r="L1" s="4" t="inlineStr">
        <is>
          <t>Alternative Source 3</t>
        </is>
      </c>
      <c r="M1" s="3" t="inlineStr"/>
      <c r="N1" s="4" t="inlineStr">
        <is>
          <t>Alternative Source 4</t>
        </is>
      </c>
      <c r="O1" s="3" t="inlineStr"/>
      <c r="P1" s="4" t="inlineStr">
        <is>
          <t>Alternative Source 5</t>
        </is>
      </c>
      <c r="Q1" s="3" t="inlineStr">
        <is>
          <t>Notes</t>
        </is>
      </c>
      <c r="R1" s="3" t="inlineStr">
        <is>
          <t>Link check</t>
        </is>
      </c>
    </row>
    <row r="2">
      <c r="A2" s="5" t="inlineStr">
        <is>
          <t>Filament</t>
        </is>
      </c>
      <c r="B2" s="5" t="inlineStr">
        <is>
          <t>Primary Color (Black)</t>
        </is>
      </c>
      <c r="C2" s="5" t="n"/>
      <c r="D2" s="5" t="inlineStr">
        <is>
          <t>2</t>
        </is>
      </c>
      <c r="E2" s="5" t="inlineStr">
        <is>
          <t>All</t>
        </is>
      </c>
      <c r="F2" s="6">
        <f>HYPERLINK("https://www.paramount-3d.com/product-page/absblack","Paramount ABS")</f>
        <v/>
      </c>
      <c r="G2" s="7">
        <f>HYPERLINK("https://amzn.to/2nb63qR","[Affiliate Link]")</f>
        <v/>
      </c>
      <c r="H2" s="5" t="n"/>
      <c r="I2" s="5" t="n"/>
      <c r="J2" s="5" t="n"/>
      <c r="K2" s="5" t="n"/>
      <c r="L2" s="5" t="n"/>
      <c r="M2" s="5" t="n"/>
      <c r="N2" s="5" t="n"/>
      <c r="O2" s="5" t="n"/>
      <c r="P2" s="5" t="n"/>
      <c r="Q2" s="8" t="inlineStr">
        <is>
          <t>MakeShaper ABS / [Affiliate Link]</t>
        </is>
      </c>
      <c r="R2" s="29" t="inlineStr">
        <is>
          <t>some links were dead</t>
        </is>
      </c>
    </row>
    <row r="3">
      <c r="A3" s="5" t="inlineStr">
        <is>
          <t>Filament</t>
        </is>
      </c>
      <c r="B3" s="5" t="inlineStr">
        <is>
          <t>Secondary Color (Red)</t>
        </is>
      </c>
      <c r="C3" s="5" t="n"/>
      <c r="D3" s="5" t="inlineStr">
        <is>
          <t>1</t>
        </is>
      </c>
      <c r="E3" s="5" t="inlineStr">
        <is>
          <t>All</t>
        </is>
      </c>
      <c r="F3" s="6">
        <f>HYPERLINK("https://www.paramount-3d.com/product-page/abs-pantone-enzo-red-485c-1-75mm-1kg-filament-trrl3020485c","Paramount ABS")</f>
        <v/>
      </c>
      <c r="G3" s="7">
        <f>HYPERLINK("https://amzn.to/2lqEYQ1","[Affiliate Link]")</f>
        <v/>
      </c>
      <c r="H3" s="7">
        <f>HYPERLINK("https://www.amazon.com/dp/B00J0HB1YI","Hatchbox ABS")</f>
        <v/>
      </c>
      <c r="I3" s="7">
        <f>HYPERLINK("https://amzn.to/2ltf8Lj","[Affiliate Link]")</f>
        <v/>
      </c>
      <c r="J3" s="5" t="n"/>
      <c r="K3" s="5" t="n"/>
      <c r="L3" s="5" t="n"/>
      <c r="M3" s="5" t="n"/>
      <c r="N3" s="5" t="n"/>
      <c r="O3" s="5" t="n"/>
      <c r="P3" s="5" t="n"/>
      <c r="Q3" s="8" t="inlineStr">
        <is>
          <t>MakeShaper ABS / [Affiliate Link]</t>
        </is>
      </c>
      <c r="R3" s="29" t="inlineStr">
        <is>
          <t>some links were dead</t>
        </is>
      </c>
    </row>
    <row r="4">
      <c r="A4" s="5" t="inlineStr">
        <is>
          <t>Printed Parts</t>
        </is>
      </c>
      <c r="B4" s="5" t="inlineStr">
        <is>
          <t>Printed Parts</t>
        </is>
      </c>
      <c r="C4" s="5" t="n"/>
      <c r="D4" s="5" t="inlineStr">
        <is>
          <t>1</t>
        </is>
      </c>
      <c r="E4" s="5" t="inlineStr">
        <is>
          <t>All</t>
        </is>
      </c>
      <c r="F4" s="6">
        <f>HYPERLINK("https://pif.voron.dev/","Print It Forward")</f>
        <v/>
      </c>
      <c r="G4" s="5" t="n"/>
      <c r="H4" s="5" t="inlineStr">
        <is>
          <t>Print Yourself</t>
        </is>
      </c>
      <c r="I4" s="5" t="n"/>
      <c r="J4" s="5" t="n"/>
      <c r="K4" s="5" t="n"/>
      <c r="L4" s="5" t="n"/>
      <c r="M4" s="5" t="n"/>
      <c r="N4" s="5" t="n"/>
      <c r="O4" s="5" t="n"/>
      <c r="P4" s="5" t="n"/>
      <c r="Q4" s="5" t="n"/>
      <c r="R4" s="5" t="n"/>
    </row>
    <row r="5">
      <c r="A5" s="14" t="inlineStr">
        <is>
          <t>Motion</t>
        </is>
      </c>
      <c r="B5" s="14" t="inlineStr">
        <is>
          <t>Linear Bearings (LMUW8)</t>
        </is>
      </c>
      <c r="C5" s="14" t="n"/>
      <c r="D5" s="14" t="inlineStr">
        <is>
          <t>8</t>
        </is>
      </c>
      <c r="E5" s="14" t="inlineStr">
        <is>
          <t>All</t>
        </is>
      </c>
      <c r="F5" s="15">
        <f>HYPERLINK("https://us.misumi-ec.com/vona2/detail/110300026540?HissuCode=LMUW8&amp;Keyword=LMUW8&amp;PNSearch=LMUW8&amp;searchFlow=suggest2products","Misumi")</f>
        <v/>
      </c>
      <c r="G5" s="14" t="n"/>
      <c r="H5" s="14" t="n"/>
      <c r="I5" s="14" t="n"/>
      <c r="J5" s="14" t="n"/>
      <c r="K5" s="14" t="n"/>
      <c r="L5" s="14" t="n"/>
      <c r="M5" s="14" t="n"/>
      <c r="N5" s="14" t="n"/>
      <c r="O5" s="14" t="n"/>
      <c r="P5" s="14" t="n"/>
      <c r="Q5" s="14" t="n"/>
      <c r="R5" s="14" t="n"/>
    </row>
    <row r="6">
      <c r="A6" s="14" t="inlineStr">
        <is>
          <t>Motion</t>
        </is>
      </c>
      <c r="B6" s="14" t="inlineStr">
        <is>
          <t>Linear Rods (PSFJ8-320)</t>
        </is>
      </c>
      <c r="C6" s="14" t="n"/>
      <c r="D6" s="14" t="inlineStr">
        <is>
          <t>8</t>
        </is>
      </c>
      <c r="E6" s="14" t="inlineStr">
        <is>
          <t>All</t>
        </is>
      </c>
      <c r="F6" s="15">
        <f>HYPERLINK("https://us.misumi-ec.com/vona2/detail/110302634310?HissuCode=PSFJ8-320&amp;KWSearch=PSFJ8-320&amp;PNSearch=PSFJ8-320&amp;searchFlow=results2type","Misumi")</f>
        <v/>
      </c>
      <c r="G6" s="14" t="n"/>
      <c r="H6" s="14" t="n"/>
      <c r="I6" s="14" t="n"/>
      <c r="J6" s="14" t="n"/>
      <c r="K6" s="14" t="n"/>
      <c r="L6" s="14" t="n"/>
      <c r="M6" s="14" t="n"/>
      <c r="N6" s="14" t="n"/>
      <c r="O6" s="14" t="n"/>
      <c r="P6" s="14" t="n"/>
      <c r="Q6" s="14" t="n"/>
      <c r="R6" s="14" t="n"/>
    </row>
    <row r="7">
      <c r="A7" s="24" t="inlineStr">
        <is>
          <t>Electronics</t>
        </is>
      </c>
      <c r="B7" s="24" t="inlineStr">
        <is>
          <t>Omron Mouse Button - Micro Switch</t>
        </is>
      </c>
      <c r="C7" s="24" t="n"/>
      <c r="D7" s="24" t="inlineStr">
        <is>
          <t>3</t>
        </is>
      </c>
      <c r="E7" s="24" t="inlineStr">
        <is>
          <t>All</t>
        </is>
      </c>
      <c r="F7" s="25">
        <f>HYPERLINK("https://www.digikey.com/product-detail/en/omron-electronics-inc-emc-div/D2F-5L/Z8846-ND/8593137","Digikey")</f>
        <v/>
      </c>
      <c r="G7" s="24" t="n"/>
      <c r="H7" s="26">
        <f>HYPERLINK("https://www.digikey.com/en/products/detail/omron-electronics-inc-emc-div/D2F-01L/83264","Digikey")</f>
        <v/>
      </c>
      <c r="I7" s="24" t="n"/>
      <c r="J7" s="26">
        <f>HYPERLINK("https://www.digikey.com/product-detail/en/omron-electronics-inc-emc-div/D2F-5/Z8845-ND/8593136","Digikey")</f>
        <v/>
      </c>
      <c r="K7" s="24" t="n"/>
      <c r="L7" s="24" t="n"/>
      <c r="M7" s="24" t="n"/>
      <c r="N7" s="24" t="n"/>
      <c r="O7" s="24" t="n"/>
      <c r="P7" s="24" t="n"/>
      <c r="Q7" s="27" t="inlineStr">
        <is>
          <t>First Option Has Lever, 2nd Does Not</t>
        </is>
      </c>
      <c r="R7" s="24" t="n"/>
    </row>
    <row r="8">
      <c r="A8" s="24" t="inlineStr">
        <is>
          <t>Electronics</t>
        </is>
      </c>
      <c r="B8" s="24" t="inlineStr">
        <is>
          <t>PL-08N Inductive Probe</t>
        </is>
      </c>
      <c r="C8" s="24" t="n"/>
      <c r="D8" s="24" t="inlineStr">
        <is>
          <t>1</t>
        </is>
      </c>
      <c r="E8" s="24" t="inlineStr">
        <is>
          <t>All</t>
        </is>
      </c>
      <c r="F8" s="24" t="n"/>
      <c r="G8" s="24" t="n"/>
      <c r="H8" s="24" t="n"/>
      <c r="I8" s="24" t="n"/>
      <c r="J8" s="24" t="n"/>
      <c r="K8" s="24" t="n"/>
      <c r="L8" s="24" t="n"/>
      <c r="M8" s="24" t="n"/>
      <c r="N8" s="24" t="n"/>
      <c r="O8" s="24" t="n"/>
      <c r="P8" s="24" t="n"/>
      <c r="Q8" s="24" t="n"/>
      <c r="R8" s="28" t="inlineStr">
        <is>
          <t>all links were dead</t>
        </is>
      </c>
    </row>
    <row r="9">
      <c r="A9" s="24" t="inlineStr">
        <is>
          <t>Electronics</t>
        </is>
      </c>
      <c r="B9" s="24" t="inlineStr">
        <is>
          <t>BAT85 Diode</t>
        </is>
      </c>
      <c r="C9" s="24" t="n"/>
      <c r="D9" s="24" t="inlineStr">
        <is>
          <t>1</t>
        </is>
      </c>
      <c r="E9" s="24" t="inlineStr">
        <is>
          <t>All</t>
        </is>
      </c>
      <c r="F9" s="25">
        <f>HYPERLINK("https://www.digikey.com/product-detail/en/BAT85S-TR/BAT85SCT-ND/3104371","DigiKey")</f>
        <v/>
      </c>
      <c r="G9" s="24" t="n"/>
      <c r="H9" s="24" t="n"/>
      <c r="I9" s="24" t="n"/>
      <c r="J9" s="24" t="n"/>
      <c r="K9" s="24" t="n"/>
      <c r="L9" s="24" t="n"/>
      <c r="M9" s="24" t="n"/>
      <c r="N9" s="24" t="n"/>
      <c r="O9" s="24" t="n"/>
      <c r="P9" s="24" t="n"/>
      <c r="Q9" s="27" t="inlineStr">
        <is>
          <t>You do not want to get this part from an Ali vendor as quality can be suspect. If these sources are not available in your area, please ask in a regional channel on Discord or search a local electronics store.</t>
        </is>
      </c>
      <c r="R9" s="24" t="n"/>
    </row>
    <row r="10">
      <c r="A10" s="24" t="inlineStr">
        <is>
          <t>Electronics</t>
        </is>
      </c>
      <c r="B10" s="24" t="inlineStr">
        <is>
          <t>Omron G3NA-210B-DC5 (10A) or Crydom D2425 (25A) or Crydom 84134000 (10A) SSR</t>
        </is>
      </c>
      <c r="C10" s="24" t="n"/>
      <c r="D10" s="24" t="inlineStr">
        <is>
          <t>1</t>
        </is>
      </c>
      <c r="E10" s="24" t="inlineStr">
        <is>
          <t>All</t>
        </is>
      </c>
      <c r="F10" s="25">
        <f>HYPERLINK("https://www.digikey.com/en/products/detail/omron-automation-and-safety/G3NA-210B-UTU-DC5-24/634443","Digikey (Omron)")</f>
        <v/>
      </c>
      <c r="G10" s="24" t="n"/>
      <c r="H10" s="26">
        <f>HYPERLINK("https://www.digikey.com/products/en","Digikey (Omron)")</f>
        <v/>
      </c>
      <c r="I10" s="24" t="n"/>
      <c r="J10" s="26">
        <f>HYPERLINK("https://www.digikey.com/en/products/detail/panasonic-electric-works/AQA211VL/2364682","Digikey (Panasonic)")</f>
        <v/>
      </c>
      <c r="K10" s="24" t="n"/>
      <c r="L10" s="26">
        <f>HYPERLINK("https://www.digikey.com/product-detail/en/sensata-crydom/D2425/CC1006-ND/139477","Digikey (Crydom 25A)")</f>
        <v/>
      </c>
      <c r="M10" s="24" t="n"/>
      <c r="N10" s="26">
        <f>HYPERLINK("https://www.digikey.com/product-detail/en/sensata-crydom/84134000/646-1227-ND/1816787","Digikey (Crydom 10A)")</f>
        <v/>
      </c>
      <c r="O10" s="24" t="n"/>
      <c r="P10" s="26">
        <f>HYPERLINK("https://www.filastruder.com/products/solid-state-relay?_pos=1&amp;_sid=f58b74679&amp;_ss=r","Filastruder (Panasonic)")</f>
        <v/>
      </c>
      <c r="Q10" s="27" t="inlineStr">
        <is>
          <t>Crydom (2nd Link, also valid alternative), UTU PN just adds TUV support as a certification to the relay (Omron Only)</t>
        </is>
      </c>
      <c r="R10" s="24" t="n"/>
    </row>
    <row r="11">
      <c r="A11" s="24" t="inlineStr">
        <is>
          <t>Electronics</t>
        </is>
      </c>
      <c r="B11" s="24" t="inlineStr">
        <is>
          <t>Mean Well LRS-200-12 PSU</t>
        </is>
      </c>
      <c r="C11" s="24" t="n"/>
      <c r="D11" s="24" t="inlineStr">
        <is>
          <t>1</t>
        </is>
      </c>
      <c r="E11" s="24" t="inlineStr">
        <is>
          <t>All</t>
        </is>
      </c>
      <c r="F11" s="25">
        <f>HYPERLINK("https://www.digikey.com/products/en","Digikey")</f>
        <v/>
      </c>
      <c r="G11" s="24" t="n"/>
      <c r="H11" s="24" t="n"/>
      <c r="I11" s="24" t="n"/>
      <c r="J11" s="24" t="n"/>
      <c r="K11" s="24" t="n"/>
      <c r="L11" s="24" t="n"/>
      <c r="M11" s="24" t="n"/>
      <c r="N11" s="24" t="n"/>
      <c r="O11" s="24" t="n"/>
      <c r="P11" s="24" t="n"/>
      <c r="Q11" s="27" t="inlineStr">
        <is>
          <t>Do not cheap out on this. Get a legitmate MeanWell PSU. Higher wattage is not necessary since the bed is mains powered. Higher wattage also comes with a fan which adds to the noise.</t>
        </is>
      </c>
      <c r="R11" s="24" t="n"/>
    </row>
    <row r="12">
      <c r="A12" s="24" t="inlineStr">
        <is>
          <t>Electronics</t>
        </is>
      </c>
      <c r="B12" s="24" t="inlineStr">
        <is>
          <t>Meanwell RS-25-5 PSU</t>
        </is>
      </c>
      <c r="C12" s="24" t="n"/>
      <c r="D12" s="24" t="inlineStr">
        <is>
          <t>1</t>
        </is>
      </c>
      <c r="E12" s="24" t="inlineStr">
        <is>
          <t>All</t>
        </is>
      </c>
      <c r="F12" s="25">
        <f>HYPERLINK("https://www.digikey.com/product-detail/en/mean-well-usa-inc/RS-25-5/1866-4145-ND/7706180","Digikey")</f>
        <v/>
      </c>
      <c r="G12" s="24" t="n"/>
      <c r="H12" s="24" t="n"/>
      <c r="I12" s="24" t="n"/>
      <c r="J12" s="24" t="n"/>
      <c r="K12" s="24" t="n"/>
      <c r="L12" s="24" t="n"/>
      <c r="M12" s="24" t="n"/>
      <c r="N12" s="24" t="n"/>
      <c r="O12" s="24" t="n"/>
      <c r="P12" s="24" t="n"/>
      <c r="Q12" s="27" t="inlineStr">
        <is>
          <t>Do not cheap out on this. Get a legitmate MeanWell PSU.</t>
        </is>
      </c>
      <c r="R12" s="24" t="n"/>
    </row>
    <row r="13">
      <c r="A13" s="24" t="inlineStr">
        <is>
          <t>Electronics</t>
        </is>
      </c>
      <c r="B13" s="24" t="inlineStr">
        <is>
          <t>ZF - Rocker Switches DPST 16A ON-OFF</t>
        </is>
      </c>
      <c r="C13" s="24" t="n"/>
      <c r="D13" s="24" t="inlineStr">
        <is>
          <t>1</t>
        </is>
      </c>
      <c r="E13" s="24" t="inlineStr">
        <is>
          <t>All</t>
        </is>
      </c>
      <c r="F13" s="25">
        <f>HYPERLINK("https://www.digikey.com/products/en","Digikey (no Light)")</f>
        <v/>
      </c>
      <c r="G13" s="24" t="n"/>
      <c r="H13" s="26">
        <f>HYPERLINK("https://www.mouser.com/ProductDetail/ZF/WRG32F2BBRLN?qs=%2Fha2pyFadugTPgk3aI89ZNgIRYXUDJ2iew%252BR%252BPzJE%2FSagvnd6sid0w%3D%3D","Mouser (Red Light)")</f>
        <v/>
      </c>
      <c r="I13" s="24" t="n"/>
      <c r="J13" s="24" t="n"/>
      <c r="K13" s="24" t="n"/>
      <c r="L13" s="24" t="n"/>
      <c r="M13" s="24" t="n"/>
      <c r="N13" s="24" t="n"/>
      <c r="O13" s="24" t="n"/>
      <c r="P13" s="24" t="n"/>
      <c r="Q13" s="24" t="n"/>
      <c r="R13" s="24" t="n"/>
    </row>
    <row r="14">
      <c r="A14" s="24" t="inlineStr">
        <is>
          <t>Electronics</t>
        </is>
      </c>
      <c r="B14" s="24" t="inlineStr">
        <is>
          <t>Fuse Medium Time Delay Acting 8A 250V Holder Cartridge 5 X 20mm Glass</t>
        </is>
      </c>
      <c r="C14" s="24" t="n"/>
      <c r="D14" s="24" t="inlineStr">
        <is>
          <t>2</t>
        </is>
      </c>
      <c r="E14" s="24" t="inlineStr">
        <is>
          <t>All</t>
        </is>
      </c>
      <c r="F14" s="25">
        <f>HYPERLINK("https://www.digikey.com/products/en","Digikey")</f>
        <v/>
      </c>
      <c r="G14" s="24" t="n"/>
      <c r="H14" s="24" t="n"/>
      <c r="I14" s="24" t="n"/>
      <c r="J14" s="24" t="n"/>
      <c r="K14" s="24" t="n"/>
      <c r="L14" s="24" t="n"/>
      <c r="M14" s="24" t="n"/>
      <c r="N14" s="24" t="n"/>
      <c r="O14" s="24" t="n"/>
      <c r="P14" s="24" t="n"/>
      <c r="Q14" s="24" t="n"/>
      <c r="R14" s="24" t="n"/>
    </row>
    <row r="15">
      <c r="A15" s="24" t="inlineStr">
        <is>
          <t>Electronics</t>
        </is>
      </c>
      <c r="B15" s="24" t="inlineStr">
        <is>
          <t>TycoElectronics - 10EGG1-2 (Normal) or 10EHG1-2 (Medical): Filtered Power Inlet</t>
        </is>
      </c>
      <c r="C15" s="24" t="n"/>
      <c r="D15" s="24" t="inlineStr">
        <is>
          <t>1</t>
        </is>
      </c>
      <c r="E15" s="24" t="inlineStr">
        <is>
          <t>All</t>
        </is>
      </c>
      <c r="F15" s="25">
        <f>HYPERLINK("https://www.digikey.com/products/en","Digikey")</f>
        <v/>
      </c>
      <c r="G15" s="24" t="n"/>
      <c r="H15" s="26">
        <f>HYPERLINK("https://www.mouser.com/ProductDetail/TE-Connectivity-PB/10EGG1-2?qs=vcjNRp8H9z2nhEkRL4AXYw%3D%3D","Mouser")</f>
        <v/>
      </c>
      <c r="I15" s="24" t="n"/>
      <c r="J15" s="24" t="n"/>
      <c r="K15" s="24" t="n"/>
      <c r="L15" s="24" t="n"/>
      <c r="M15" s="24" t="n"/>
      <c r="N15" s="24" t="n"/>
      <c r="O15" s="24" t="n"/>
      <c r="P15" s="24" t="n"/>
      <c r="Q15" s="24" t="n"/>
      <c r="R15" s="24" t="n"/>
    </row>
    <row r="16">
      <c r="A16" s="24" t="inlineStr">
        <is>
          <t>Electronics</t>
        </is>
      </c>
      <c r="B16" s="24" t="inlineStr">
        <is>
          <t>NEMA17 Motor 17HS19-2004S</t>
        </is>
      </c>
      <c r="C16" s="24" t="n"/>
      <c r="D16" s="24" t="inlineStr">
        <is>
          <t>2</t>
        </is>
      </c>
      <c r="E16" s="24" t="inlineStr">
        <is>
          <t>All</t>
        </is>
      </c>
      <c r="F16" s="25">
        <f>HYPERLINK("https://www.omc-stepperonline.com/nema-17-bipolar-59ncm-84oz-in-2a-42x48mm-4-wires-w-1m-cable-and-connector.html","Stepper Online")</f>
        <v/>
      </c>
      <c r="G16" s="24" t="n"/>
      <c r="H16" s="26">
        <f>HYPERLINK("https://www.omc-stepperonline.com/nema-17-bipolare-59ncm-84oz-in-2a-42x48mm-4fili-w-1m-cable-and-connector.html","Stepper Online")</f>
        <v/>
      </c>
      <c r="I16" s="24" t="n"/>
      <c r="J16" s="26">
        <f>HYPERLINK("https://www.aliexpress.com/item/32589488227.html","Stepper Online")</f>
        <v/>
      </c>
      <c r="K16" s="26">
        <f>HYPERLINK("https://s.click.aliexpress.com/e/5E5huNIu","[Affiliate Link]")</f>
        <v/>
      </c>
      <c r="L16" s="26">
        <f>HYPERLINK("https://www.amazon.com/dp/B00PNEQKC0","Amazon")</f>
        <v/>
      </c>
      <c r="M16" s="26">
        <f>HYPERLINK("https://amzn.to/325amWA","[Affiliate Link]")</f>
        <v/>
      </c>
      <c r="N16" s="26">
        <f>HYPERLINK("https://www.aliexpress.com/item/32572890101.html","Stepper Online")</f>
        <v/>
      </c>
      <c r="O16" s="26">
        <f>HYPERLINK("https://s.click.aliexpress.com/e/_9J8aJa","[Affiliate Link]")</f>
        <v/>
      </c>
      <c r="P16" s="26">
        <f>HYPERLINK("https://docs.ldomotors.com/en/voron/LDO_Voron_Distributors","LDO")</f>
        <v/>
      </c>
      <c r="Q16" s="27" t="inlineStr">
        <is>
          <t>strongly advise buying the spec steppers to avoid performance issues</t>
        </is>
      </c>
      <c r="R16" s="24" t="n"/>
    </row>
    <row r="17">
      <c r="A17" s="24" t="inlineStr">
        <is>
          <t>Electronics</t>
        </is>
      </c>
      <c r="B17" s="24" t="inlineStr">
        <is>
          <t>NEMA17 Motor with Leadscrew (17LS19-1684E-300G)</t>
        </is>
      </c>
      <c r="C17" s="24" t="n"/>
      <c r="D17" s="24" t="inlineStr">
        <is>
          <t>2</t>
        </is>
      </c>
      <c r="E17" s="24" t="inlineStr">
        <is>
          <t>All</t>
        </is>
      </c>
      <c r="F17" s="25">
        <f>HYPERLINK("https://www.omc-stepperonline.com/nema-17-external-48mm-stack-168a-lead-8mm031496-length-300mm-17ls19-1684e-300g.html","Stepper Online")</f>
        <v/>
      </c>
      <c r="G17" s="24" t="n"/>
      <c r="H17" s="24" t="n"/>
      <c r="I17" s="24" t="n"/>
      <c r="J17" s="24" t="n"/>
      <c r="K17" s="24" t="n"/>
      <c r="L17" s="24" t="n"/>
      <c r="M17" s="24" t="n"/>
      <c r="N17" s="24" t="n"/>
      <c r="O17" s="24" t="n"/>
      <c r="P17" s="24" t="n"/>
      <c r="Q17" s="24" t="n"/>
      <c r="R17" s="28" t="inlineStr">
        <is>
          <t>some links were dead</t>
        </is>
      </c>
    </row>
    <row r="18">
      <c r="A18" s="24" t="inlineStr">
        <is>
          <t>Electronics</t>
        </is>
      </c>
      <c r="B18" s="24" t="inlineStr">
        <is>
          <t>TR8x8 Lead Screw Nut</t>
        </is>
      </c>
      <c r="C18" s="24" t="n"/>
      <c r="D18" s="24" t="inlineStr">
        <is>
          <t>2</t>
        </is>
      </c>
      <c r="E18" s="24" t="inlineStr">
        <is>
          <t>All</t>
        </is>
      </c>
      <c r="F18" s="25">
        <f>HYPERLINK("https://www.pololu.com/product/2688","Pololu")</f>
        <v/>
      </c>
      <c r="G18" s="24" t="n"/>
      <c r="H18" s="24" t="n"/>
      <c r="I18" s="24" t="n"/>
      <c r="J18" s="24" t="n"/>
      <c r="K18" s="24" t="n"/>
      <c r="L18" s="24" t="n"/>
      <c r="M18" s="24" t="n"/>
      <c r="N18" s="24" t="n"/>
      <c r="O18" s="24" t="n"/>
      <c r="P18" s="24" t="n"/>
      <c r="Q18" s="27" t="inlineStr">
        <is>
          <t>Youll need these because the ones the motors come with are plastic and the wrong pattern</t>
        </is>
      </c>
      <c r="R18" s="24" t="n"/>
    </row>
    <row r="19">
      <c r="A19" s="24" t="inlineStr">
        <is>
          <t>Electronics</t>
        </is>
      </c>
      <c r="B19" s="24" t="inlineStr">
        <is>
          <t>C13 Power Cord</t>
        </is>
      </c>
      <c r="C19" s="24" t="n"/>
      <c r="D19" s="24" t="inlineStr">
        <is>
          <t>1</t>
        </is>
      </c>
      <c r="E19" s="24" t="inlineStr">
        <is>
          <t>All</t>
        </is>
      </c>
      <c r="F19" s="25">
        <f>HYPERLINK("https://www.amazon.com/dp/B072LNKHBB","Amazon")</f>
        <v/>
      </c>
      <c r="G19" s="24" t="n"/>
      <c r="H19" s="24" t="inlineStr">
        <is>
          <t>use a spare from around the house</t>
        </is>
      </c>
      <c r="I19" s="24" t="n"/>
      <c r="J19" s="24" t="n"/>
      <c r="K19" s="24" t="n"/>
      <c r="L19" s="24" t="n"/>
      <c r="M19" s="24" t="n"/>
      <c r="N19" s="24" t="n"/>
      <c r="O19" s="24" t="n"/>
      <c r="P19" s="24" t="n"/>
      <c r="Q19" s="24" t="n"/>
      <c r="R19" s="24" t="n"/>
    </row>
    <row r="20">
      <c r="A20" s="9" t="inlineStr">
        <is>
          <t>Hotend</t>
        </is>
      </c>
      <c r="B20" s="9" t="inlineStr">
        <is>
          <t>E3D V6 Bowden Hotend Kit (12V)</t>
        </is>
      </c>
      <c r="C20" s="9" t="n"/>
      <c r="D20" s="9" t="inlineStr">
        <is>
          <t>1</t>
        </is>
      </c>
      <c r="E20" s="9" t="inlineStr">
        <is>
          <t>All</t>
        </is>
      </c>
      <c r="F20" s="10">
        <f>HYPERLINK("https://www.aliexpress.com/item/32844028127.html","Trianglelab")</f>
        <v/>
      </c>
      <c r="G20" s="11">
        <f>HYPERLINK("https://s.click.aliexpress.com/e/NJsPnaGs","[Affiliate Link]")</f>
        <v/>
      </c>
      <c r="H20" s="11">
        <f>HYPERLINK("https://www.filastruder.com/products/all-metal-e3d-v6-hotend","Filastruder")</f>
        <v/>
      </c>
      <c r="I20" s="9" t="n"/>
      <c r="J20" s="9" t="n"/>
      <c r="K20" s="9" t="n"/>
      <c r="L20" s="9" t="n"/>
      <c r="M20" s="9" t="n"/>
      <c r="N20" s="9" t="n"/>
      <c r="O20" s="9" t="n"/>
      <c r="P20" s="9" t="n"/>
      <c r="Q20" s="13" t="inlineStr">
        <is>
          <t>Trianglelab sells inexpensive clones of the E3D v6 assembly that is as good, if not better, than the original part. Purchase the all metal option. PTFE lined will break down at ABS temps.</t>
        </is>
      </c>
      <c r="R20" s="9" t="n"/>
    </row>
    <row r="21">
      <c r="A21" s="24" t="inlineStr">
        <is>
          <t>Electronics</t>
        </is>
      </c>
      <c r="B21" s="24" t="inlineStr">
        <is>
          <t>40x40x20 Axial Fan (12V)</t>
        </is>
      </c>
      <c r="C21" s="24" t="n"/>
      <c r="D21" s="24" t="inlineStr">
        <is>
          <t>1</t>
        </is>
      </c>
      <c r="E21" s="24" t="inlineStr">
        <is>
          <t>All</t>
        </is>
      </c>
      <c r="F21" s="25">
        <f>HYPERLINK("https://www.digikey.com/product-detail/en/delta-electronics/EFB0412HD/603-1009-ND/1014340","Digikey (12v)")</f>
        <v/>
      </c>
      <c r="G21" s="24" t="n"/>
      <c r="H21" s="26">
        <f>HYPERLINK("https://www.digikey.com/product-detail/en/delta-electronics/EFB0412HD-F00/603-1396-ND/2560520","Digikey (12v)")</f>
        <v/>
      </c>
      <c r="I21" s="24" t="n"/>
      <c r="J21" s="26">
        <f>HYPERLINK("https://www.digikey.com/products/en","Digikey (24v)")</f>
        <v/>
      </c>
      <c r="K21" s="24" t="n"/>
      <c r="L21" s="24" t="n"/>
      <c r="M21" s="24" t="n"/>
      <c r="N21" s="24" t="n"/>
      <c r="O21" s="24" t="n"/>
      <c r="P21" s="24" t="n"/>
      <c r="Q21" s="27" t="inlineStr">
        <is>
          <t>Delta or Sunon are preferred brands</t>
        </is>
      </c>
      <c r="R21" s="24" t="n"/>
    </row>
    <row r="22">
      <c r="A22" s="24" t="inlineStr">
        <is>
          <t>Electronics</t>
        </is>
      </c>
      <c r="B22" s="24" t="inlineStr">
        <is>
          <t>40x40x10 Centrifugal Blower Fan (12V)</t>
        </is>
      </c>
      <c r="C22" s="24" t="n"/>
      <c r="D22" s="24" t="inlineStr">
        <is>
          <t>2</t>
        </is>
      </c>
      <c r="E22" s="24" t="inlineStr">
        <is>
          <t>All</t>
        </is>
      </c>
      <c r="F22" s="25">
        <f>HYPERLINK("https://www.digikey.com/product-detail/en/delta-electronics/BFB0412HHA-A117/603-1840-ND/5022816","Digikey")</f>
        <v/>
      </c>
      <c r="G22" s="24" t="n"/>
      <c r="H22" s="26">
        <f>HYPERLINK("https://www.aliexpress.com/item/32798634077.html","AliExpress")</f>
        <v/>
      </c>
      <c r="I22" s="26">
        <f>HYPERLINK("https://s.click.aliexpress.com/e/NwIXaHhO","[Affiliate Link]")</f>
        <v/>
      </c>
      <c r="J22" s="24" t="n"/>
      <c r="K22" s="24" t="n"/>
      <c r="L22" s="24" t="n"/>
      <c r="M22" s="24" t="n"/>
      <c r="N22" s="24" t="n"/>
      <c r="O22" s="24" t="n"/>
      <c r="P22" s="24" t="n"/>
      <c r="Q22" s="27" t="inlineStr">
        <is>
          <t>Delta is the preferred brand</t>
        </is>
      </c>
      <c r="R22" s="24" t="n"/>
    </row>
    <row r="23">
      <c r="A23" s="24" t="inlineStr">
        <is>
          <t>Electronics</t>
        </is>
      </c>
      <c r="B23" s="24" t="inlineStr">
        <is>
          <t>120x120x15 Fan (12V) (Rear can use 120x120x25 Fan)</t>
        </is>
      </c>
      <c r="C23" s="24" t="n"/>
      <c r="D23" s="24" t="inlineStr">
        <is>
          <t>1</t>
        </is>
      </c>
      <c r="E23" s="24" t="inlineStr">
        <is>
          <t>All</t>
        </is>
      </c>
      <c r="F23" s="24" t="n"/>
      <c r="G23" s="24" t="n"/>
      <c r="H23" s="24" t="n"/>
      <c r="I23" s="24" t="n"/>
      <c r="J23" s="24" t="n"/>
      <c r="K23" s="24" t="n"/>
      <c r="L23" s="24" t="n"/>
      <c r="M23" s="24" t="n"/>
      <c r="N23" s="24" t="n"/>
      <c r="O23" s="24" t="n"/>
      <c r="P23" s="24" t="n"/>
      <c r="Q23" s="24" t="n"/>
      <c r="R23" s="28" t="inlineStr">
        <is>
          <t>all links were dead</t>
        </is>
      </c>
    </row>
    <row r="24">
      <c r="A24" s="24" t="inlineStr">
        <is>
          <t>Electronics</t>
        </is>
      </c>
      <c r="B24" s="24" t="inlineStr">
        <is>
          <t>Thermal Fuse</t>
        </is>
      </c>
      <c r="C24" s="24" t="n"/>
      <c r="D24" s="24" t="inlineStr">
        <is>
          <t>1</t>
        </is>
      </c>
      <c r="E24" s="24" t="inlineStr">
        <is>
          <t>All</t>
        </is>
      </c>
      <c r="F24" s="24" t="n"/>
      <c r="G24" s="24" t="n"/>
      <c r="H24" s="24" t="n"/>
      <c r="I24" s="24" t="n"/>
      <c r="J24" s="24" t="n"/>
      <c r="K24" s="24" t="n"/>
      <c r="L24" s="24" t="n"/>
      <c r="M24" s="24" t="n"/>
      <c r="N24" s="24" t="n"/>
      <c r="O24" s="24" t="n"/>
      <c r="P24" s="24" t="n"/>
      <c r="Q24" s="27" t="inlineStr">
        <is>
          <t>Buy a 115C-125C thermal cutoff, you want the fuse to blow before the heater falls off the bed</t>
        </is>
      </c>
      <c r="R24" s="28" t="inlineStr">
        <is>
          <t>all links were dead</t>
        </is>
      </c>
    </row>
    <row r="25">
      <c r="A25" s="5" t="inlineStr">
        <is>
          <t>Controller</t>
        </is>
      </c>
      <c r="B25" s="5" t="inlineStr">
        <is>
          <t>RaspberryPi3 B+</t>
        </is>
      </c>
      <c r="C25" s="5" t="n"/>
      <c r="D25" s="5" t="inlineStr">
        <is>
          <t>1</t>
        </is>
      </c>
      <c r="E25" s="5" t="inlineStr">
        <is>
          <t>All</t>
        </is>
      </c>
      <c r="F25" s="6">
        <f>HYPERLINK("https://www.arrow.com/en/products/raspberrypi3b/raspberry-pi-foundation","Arrow")</f>
        <v/>
      </c>
      <c r="G25" s="5" t="n"/>
      <c r="H25" s="5" t="n"/>
      <c r="I25" s="5" t="n"/>
      <c r="J25" s="5" t="n"/>
      <c r="K25" s="5" t="n"/>
      <c r="L25" s="5" t="n"/>
      <c r="M25" s="5" t="n"/>
      <c r="N25" s="5" t="n"/>
      <c r="O25" s="5" t="n"/>
      <c r="P25" s="5" t="n"/>
      <c r="Q25" s="8" t="inlineStr">
        <is>
          <t>Also Buy a GOOD SD Card</t>
        </is>
      </c>
      <c r="R25" s="5" t="n"/>
    </row>
    <row r="26">
      <c r="A26" s="5" t="inlineStr">
        <is>
          <t>Controller</t>
        </is>
      </c>
      <c r="B26" s="5" t="inlineStr">
        <is>
          <t>MicroSD Card</t>
        </is>
      </c>
      <c r="C26" s="5" t="n"/>
      <c r="D26" s="5" t="inlineStr">
        <is>
          <t>1</t>
        </is>
      </c>
      <c r="E26" s="5" t="inlineStr">
        <is>
          <t>All</t>
        </is>
      </c>
      <c r="F26" s="6">
        <f>HYPERLINK("https://www.amazon.com/dp/B073JYVKNX","Amazon (64gb)")</f>
        <v/>
      </c>
      <c r="G26" s="5" t="n"/>
      <c r="H26" s="7">
        <f>HYPERLINK("https://www.amazon.com/dp/B0749KG1JK","Amazon (32gb)")</f>
        <v/>
      </c>
      <c r="I26" s="5" t="n"/>
      <c r="J26" s="7">
        <f>HYPERLINK("https://amzn.to/2PDYXWX","Amazon")</f>
        <v/>
      </c>
      <c r="K26" s="5" t="n"/>
      <c r="L26" s="5" t="n"/>
      <c r="M26" s="5" t="n"/>
      <c r="N26" s="5" t="n"/>
      <c r="O26" s="5" t="n"/>
      <c r="P26" s="5" t="n"/>
      <c r="Q26" s="5" t="n"/>
      <c r="R26" s="5" t="n"/>
    </row>
    <row r="27">
      <c r="A27" s="5" t="inlineStr">
        <is>
          <t>Controller</t>
        </is>
      </c>
      <c r="B27" s="5" t="inlineStr">
        <is>
          <t>Micro USB Power Cable</t>
        </is>
      </c>
      <c r="C27" s="5" t="n"/>
      <c r="D27" s="5" t="inlineStr">
        <is>
          <t>1</t>
        </is>
      </c>
      <c r="E27" s="5" t="inlineStr">
        <is>
          <t>All</t>
        </is>
      </c>
      <c r="F27" s="5" t="inlineStr">
        <is>
          <t>use a spare from around the house</t>
        </is>
      </c>
      <c r="G27" s="5" t="n"/>
      <c r="H27" s="5" t="n"/>
      <c r="I27" s="5" t="n"/>
      <c r="J27" s="5" t="n"/>
      <c r="K27" s="5" t="n"/>
      <c r="L27" s="5" t="n"/>
      <c r="M27" s="5" t="n"/>
      <c r="N27" s="5" t="n"/>
      <c r="O27" s="5" t="n"/>
      <c r="P27" s="5" t="n"/>
      <c r="Q27" s="8" t="inlineStr">
        <is>
          <t>to get power from the RS-25-5 to the Pi</t>
        </is>
      </c>
      <c r="R27" s="29" t="inlineStr">
        <is>
          <t>all links were dead</t>
        </is>
      </c>
    </row>
    <row r="28">
      <c r="A28" s="5" t="inlineStr">
        <is>
          <t>Controller</t>
        </is>
      </c>
      <c r="B28" s="5" t="inlineStr">
        <is>
          <t>Arduino Mega 2560</t>
        </is>
      </c>
      <c r="C28" s="5" t="n"/>
      <c r="D28" s="5" t="inlineStr">
        <is>
          <t>1</t>
        </is>
      </c>
      <c r="E28" s="5" t="inlineStr">
        <is>
          <t>All</t>
        </is>
      </c>
      <c r="F28" s="5" t="n"/>
      <c r="G28" s="5" t="n"/>
      <c r="H28" s="5" t="n"/>
      <c r="I28" s="5" t="n"/>
      <c r="J28" s="5" t="n"/>
      <c r="K28" s="5" t="n"/>
      <c r="L28" s="5" t="n"/>
      <c r="M28" s="5" t="n"/>
      <c r="N28" s="5" t="n"/>
      <c r="O28" s="5" t="n"/>
      <c r="P28" s="5" t="n"/>
      <c r="Q28" s="8" t="inlineStr">
        <is>
          <t>Get the kit from Zyltec with all 3 items (arduino, ramps, drivers)</t>
        </is>
      </c>
      <c r="R28" s="29" t="inlineStr">
        <is>
          <t>all links were dead</t>
        </is>
      </c>
    </row>
    <row r="29">
      <c r="A29" s="5" t="inlineStr">
        <is>
          <t>Controller</t>
        </is>
      </c>
      <c r="B29" s="5" t="inlineStr">
        <is>
          <t>RAMPs 1.4</t>
        </is>
      </c>
      <c r="C29" s="5" t="n"/>
      <c r="D29" s="5" t="inlineStr">
        <is>
          <t>1</t>
        </is>
      </c>
      <c r="E29" s="5" t="inlineStr">
        <is>
          <t>All</t>
        </is>
      </c>
      <c r="F29" s="5" t="n"/>
      <c r="G29" s="5" t="n"/>
      <c r="H29" s="5" t="n"/>
      <c r="I29" s="5" t="n"/>
      <c r="J29" s="5" t="n"/>
      <c r="K29" s="5" t="n"/>
      <c r="L29" s="5" t="n"/>
      <c r="M29" s="5" t="n"/>
      <c r="N29" s="5" t="n"/>
      <c r="O29" s="5" t="n"/>
      <c r="P29" s="5" t="n"/>
      <c r="Q29" s="8" t="inlineStr">
        <is>
          <t>Get the kit from Zyltec with all 3 items (arduino, ramps, drivers)</t>
        </is>
      </c>
      <c r="R29" s="29" t="inlineStr">
        <is>
          <t>all links were dead</t>
        </is>
      </c>
    </row>
    <row r="30">
      <c r="A30" s="5" t="inlineStr">
        <is>
          <t>Controller</t>
        </is>
      </c>
      <c r="B30" s="5" t="inlineStr">
        <is>
          <t>A4988 Stepper Motor Driver</t>
        </is>
      </c>
      <c r="C30" s="5" t="n"/>
      <c r="D30" s="5" t="inlineStr">
        <is>
          <t>5</t>
        </is>
      </c>
      <c r="E30" s="5" t="inlineStr">
        <is>
          <t>All</t>
        </is>
      </c>
      <c r="F30" s="5" t="n"/>
      <c r="G30" s="5" t="n"/>
      <c r="H30" s="5" t="n"/>
      <c r="I30" s="5" t="n"/>
      <c r="J30" s="5" t="n"/>
      <c r="K30" s="5" t="n"/>
      <c r="L30" s="5" t="n"/>
      <c r="M30" s="5" t="n"/>
      <c r="N30" s="5" t="n"/>
      <c r="O30" s="5" t="n"/>
      <c r="P30" s="5" t="n"/>
      <c r="Q30" s="8" t="inlineStr">
        <is>
          <t>Get the kit from Zyltec with all 3 items (arduino, ramps, drivers)</t>
        </is>
      </c>
      <c r="R30" s="29" t="inlineStr">
        <is>
          <t>all links were dead</t>
        </is>
      </c>
    </row>
    <row r="31">
      <c r="A31" s="5" t="inlineStr">
        <is>
          <t>Controller</t>
        </is>
      </c>
      <c r="B31" s="5" t="inlineStr">
        <is>
          <t>USB Cable A-male B-male</t>
        </is>
      </c>
      <c r="C31" s="5" t="n"/>
      <c r="D31" s="5" t="inlineStr">
        <is>
          <t>2</t>
        </is>
      </c>
      <c r="E31" s="5" t="inlineStr">
        <is>
          <t>All</t>
        </is>
      </c>
      <c r="F31" s="5" t="n"/>
      <c r="G31" s="5" t="n"/>
      <c r="H31" s="5" t="n"/>
      <c r="I31" s="5" t="n"/>
      <c r="J31" s="5" t="n"/>
      <c r="K31" s="5" t="n"/>
      <c r="L31" s="5" t="n"/>
      <c r="M31" s="5" t="n"/>
      <c r="N31" s="5" t="n"/>
      <c r="O31" s="5" t="n"/>
      <c r="P31" s="5" t="n"/>
      <c r="Q31" s="8" t="inlineStr">
        <is>
          <t>Most RAMPs/MEGA kits come with a cable so this part is likely unnecessary as a separate purchase. Double check your purchase history.</t>
        </is>
      </c>
      <c r="R31" s="5" t="n"/>
    </row>
    <row r="32">
      <c r="A32" s="5" t="inlineStr">
        <is>
          <t>Controller</t>
        </is>
      </c>
      <c r="B32" s="5" t="inlineStr">
        <is>
          <t>RepRap Full Graphics Display</t>
        </is>
      </c>
      <c r="C32" s="5" t="n"/>
      <c r="D32" s="5" t="inlineStr">
        <is>
          <t>1</t>
        </is>
      </c>
      <c r="E32" s="5" t="inlineStr">
        <is>
          <t>All</t>
        </is>
      </c>
      <c r="F32" s="6">
        <f>HYPERLINK("https://www.zyltech.com/genuine-zyltech-ramps-1-4-3d-printer-12864-lcd-smart-controller","Zyltech")</f>
        <v/>
      </c>
      <c r="G32" s="5" t="n"/>
      <c r="H32" s="5" t="n"/>
      <c r="I32" s="5" t="n"/>
      <c r="J32" s="5" t="n"/>
      <c r="K32" s="5" t="n"/>
      <c r="L32" s="5" t="n"/>
      <c r="M32" s="5" t="n"/>
      <c r="N32" s="5" t="n"/>
      <c r="O32" s="5" t="n"/>
      <c r="P32" s="5" t="n"/>
      <c r="Q32" s="5" t="n"/>
      <c r="R32" s="29" t="inlineStr">
        <is>
          <t>some links were dead</t>
        </is>
      </c>
    </row>
    <row r="33">
      <c r="A33" s="45" t="inlineStr">
        <is>
          <t>Panels</t>
        </is>
      </c>
      <c r="B33" s="45" t="inlineStr">
        <is>
          <t>Bottom/Back/Electronics Bay Panels</t>
        </is>
      </c>
      <c r="C33" s="45" t="n"/>
      <c r="D33" s="45" t="inlineStr">
        <is>
          <t>3</t>
        </is>
      </c>
      <c r="E33" s="45" t="inlineStr">
        <is>
          <t>All</t>
        </is>
      </c>
      <c r="F33" s="46">
        <f>HYPERLINK("https://www.michaels.com/corrugated-board-by-creatology/M10567770.html","Michaels Craft Store (Coroplast)")</f>
        <v/>
      </c>
      <c r="G33" s="45" t="n"/>
      <c r="H33" s="47">
        <f>HYPERLINK("https://www.mnlasercutting.com/","MN Laser Cutting")</f>
        <v/>
      </c>
      <c r="I33" s="45" t="n"/>
      <c r="J33" s="45" t="n"/>
      <c r="K33" s="45" t="n"/>
      <c r="L33" s="45" t="n"/>
      <c r="M33" s="45" t="n"/>
      <c r="N33" s="45" t="n"/>
      <c r="O33" s="45" t="n"/>
      <c r="P33" s="45" t="n"/>
      <c r="Q33" s="54" t="inlineStr">
        <is>
          <t>ABS Sheets are a common replacement that are also easy to cut and offer a more rigid surface for the deck plate that can have components mounted directly to it</t>
        </is>
      </c>
      <c r="R33" s="45" t="n"/>
    </row>
    <row r="34">
      <c r="A34" s="48" t="inlineStr">
        <is>
          <t>Buildplate</t>
        </is>
      </c>
      <c r="B34" s="48" t="inlineStr">
        <is>
          <t>Aluminum Build Plate (MIC6/ATP-5/Jig Plate/etc) (5/16in or 8mm depending on whats available in your country)</t>
        </is>
      </c>
      <c r="C34" s="48" t="n"/>
      <c r="D34" s="48" t="inlineStr">
        <is>
          <t>1</t>
        </is>
      </c>
      <c r="E34" s="48" t="inlineStr">
        <is>
          <t>All</t>
        </is>
      </c>
      <c r="F34" s="49">
        <f>HYPERLINK("https://clever3d.de/epages/7a4290fc-7c7f-46cc-9b99-eadef22228e2.sf/en_US?ObjectPath=%2FShops%2F7a4290fc-7c7f-46cc-9b99-eadef22228e2%2FProducts%2FAluGuss8mm","Clever3D.de")</f>
        <v/>
      </c>
      <c r="G34" s="48" t="n"/>
      <c r="H34" s="48" t="n"/>
      <c r="I34" s="48" t="n"/>
      <c r="J34" s="48" t="n"/>
      <c r="K34" s="48" t="n"/>
      <c r="L34" s="48" t="n"/>
      <c r="M34" s="48" t="n"/>
      <c r="N34" s="48" t="n"/>
      <c r="O34" s="48" t="n"/>
      <c r="P34" s="48" t="n"/>
      <c r="Q34" s="50" t="inlineStr">
        <is>
          <t>Thicker material is fine too, just keep in mind your heat up times will greatly increase</t>
        </is>
      </c>
      <c r="R34" s="48" t="n"/>
    </row>
    <row r="35">
      <c r="A35" s="48" t="inlineStr">
        <is>
          <t>Buildplate</t>
        </is>
      </c>
      <c r="B35" s="48" t="inlineStr">
        <is>
          <t>Silicone AC Heater 200x200mm</t>
        </is>
      </c>
      <c r="C35" s="48" t="n"/>
      <c r="D35" s="48" t="inlineStr">
        <is>
          <t>1</t>
        </is>
      </c>
      <c r="E35" s="48" t="inlineStr">
        <is>
          <t>All</t>
        </is>
      </c>
      <c r="F35" s="49">
        <f>HYPERLINK("https://keenovo.store/collections/standard-keenovo-silicone-heaters/products/keenovo-square-silicone-heater-3d-printer-build-plate-heatbed-heating-pad?variant=8324020731959","Keenovo (120v)")</f>
        <v/>
      </c>
      <c r="G35" s="48" t="n"/>
      <c r="H35" s="51">
        <f>HYPERLINK("https://keenovo.store/collections/standard-keenovo-silicone-heaters/products/keenovo-square-silicone-heater-3d-printer-build-plate-heatbed-heating-pad?variant=8324020764727","Keenovo (220v)")</f>
        <v/>
      </c>
      <c r="I35" s="48" t="n"/>
      <c r="J35" s="48" t="n"/>
      <c r="K35" s="48" t="n"/>
      <c r="L35" s="48" t="n"/>
      <c r="M35" s="48" t="n"/>
      <c r="N35" s="48" t="n"/>
      <c r="O35" s="48" t="n"/>
      <c r="P35" s="48" t="n"/>
      <c r="Q35" s="50" t="inlineStr">
        <is>
          <t>use the heater specd in the link for your specific build</t>
        </is>
      </c>
      <c r="R35" s="48" t="n"/>
    </row>
    <row r="36">
      <c r="A36" s="48" t="inlineStr">
        <is>
          <t>Buildplate</t>
        </is>
      </c>
      <c r="B36" s="48" t="inlineStr">
        <is>
          <t>PEI + 3M 468P (200MP)</t>
        </is>
      </c>
      <c r="C36" s="48" t="n"/>
      <c r="D36" s="48" t="inlineStr">
        <is>
          <t>1</t>
        </is>
      </c>
      <c r="E36" s="48" t="inlineStr">
        <is>
          <t>All</t>
        </is>
      </c>
      <c r="F36" s="49">
        <f>HYPERLINK("https://catalog.cshyde.com/item/pei-ultem/int-surface-10-mil-ultem-pei-w-3m-acrylic-adhesive/36-10a-3d-9-84-12-40","CSHyde (Trim)")</f>
        <v/>
      </c>
      <c r="G36" s="48" t="n"/>
      <c r="H36" s="51">
        <f>HYPERLINK("https://catalog.cshyde.com/item/pei-ultem/int-surface-10-mil-ultem-pei-w-3m-acrylic-adhesive/36-10a-3d-12x12","CSHyde")</f>
        <v/>
      </c>
      <c r="I36" s="48" t="n"/>
      <c r="J36" s="51">
        <f>HYPERLINK("https://catalog.cshyde.com/item/pei-sheet-3d-printing-build-surface/10-mil-ultem-pei-w-3m-acrylic-adhesive/36-10a-3d-4-7x4-7","CS Hyde")</f>
        <v/>
      </c>
      <c r="K36" s="48" t="n"/>
      <c r="L36" s="51">
        <f>HYPERLINK("https://catalog.cshyde.com/item/pei-ultem/int-surface-10-mil-ultem-pei-w-3m-acrylic-adhesive/36-10a-3d-14x14","CSHyde")</f>
        <v/>
      </c>
      <c r="M36" s="48" t="n"/>
      <c r="N36" s="48" t="n"/>
      <c r="O36" s="48" t="n"/>
      <c r="P36" s="48" t="n"/>
      <c r="Q36" s="48" t="n"/>
      <c r="R36" s="52" t="inlineStr">
        <is>
          <t>some links were dead</t>
        </is>
      </c>
    </row>
    <row r="37">
      <c r="B37" t="inlineStr">
        <is>
          <t>The 2.x guides should have the rest of the required parts</t>
        </is>
      </c>
    </row>
    <row r="38">
      <c r="B38" s="53" t="inlineStr">
        <is>
          <t>"As an Amazon Associate we earn from qualifying purchases.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12"/>
  <sheetViews>
    <sheetView workbookViewId="0">
      <pane ySplit="1" topLeftCell="A2" activePane="bottomLeft" state="frozen"/>
      <selection pane="bottomLeft" activeCell="A1" sqref="A1"/>
    </sheetView>
  </sheetViews>
  <sheetFormatPr baseColWidth="8" defaultRowHeight="15"/>
  <cols>
    <col width="19.9" customWidth="1" min="1" max="1"/>
    <col width="34.5" customWidth="1" min="2" max="2"/>
    <col width="17.1" customWidth="1" min="3" max="3"/>
    <col width="7" customWidth="1" min="4" max="4"/>
    <col width="8.5" customWidth="1" min="5" max="5"/>
    <col width="20" customWidth="1" min="6" max="6"/>
    <col width="15" customWidth="1" min="7" max="7"/>
    <col width="20" customWidth="1" min="8" max="8"/>
    <col width="15" customWidth="1" min="9" max="9"/>
    <col width="20" customWidth="1" min="10" max="10"/>
    <col width="15" customWidth="1" min="11" max="11"/>
    <col width="20" customWidth="1" min="12" max="12"/>
    <col width="15" customWidth="1" min="13" max="13"/>
    <col width="20" customWidth="1" min="14" max="14"/>
    <col width="15" customWidth="1" min="15" max="15"/>
    <col width="20" customWidth="1" min="16" max="16"/>
    <col width="90" customWidth="1" min="17" max="17"/>
    <col width="20" customWidth="1" min="18" max="18"/>
  </cols>
  <sheetData>
    <row r="1">
      <c r="A1" s="3" t="inlineStr">
        <is>
          <t>Category</t>
        </is>
      </c>
      <c r="B1" s="3" t="inlineStr">
        <is>
          <t>Component</t>
        </is>
      </c>
      <c r="C1" s="3" t="inlineStr">
        <is>
          <t>Standard</t>
        </is>
      </c>
      <c r="D1" s="3" t="inlineStr">
        <is>
          <t>Qty</t>
        </is>
      </c>
      <c r="E1" s="3" t="inlineStr">
        <is>
          <t>Size</t>
        </is>
      </c>
      <c r="F1" s="4" t="inlineStr">
        <is>
          <t>Recommended</t>
        </is>
      </c>
      <c r="G1" s="3" t="inlineStr"/>
      <c r="H1" s="4" t="inlineStr">
        <is>
          <t>Alternative Source</t>
        </is>
      </c>
      <c r="I1" s="3" t="inlineStr"/>
      <c r="J1" s="4" t="inlineStr">
        <is>
          <t>Alternative Source 2</t>
        </is>
      </c>
      <c r="K1" s="3" t="inlineStr"/>
      <c r="L1" s="4" t="inlineStr">
        <is>
          <t>Alternative Source 3</t>
        </is>
      </c>
      <c r="M1" s="3" t="inlineStr"/>
      <c r="N1" s="4" t="inlineStr">
        <is>
          <t>Alternative Source 4</t>
        </is>
      </c>
      <c r="O1" s="3" t="inlineStr"/>
      <c r="P1" s="4" t="inlineStr">
        <is>
          <t>Alternative Source 5</t>
        </is>
      </c>
      <c r="Q1" s="3" t="inlineStr">
        <is>
          <t>Notes</t>
        </is>
      </c>
      <c r="R1" s="3" t="inlineStr">
        <is>
          <t>Link check</t>
        </is>
      </c>
    </row>
    <row r="2">
      <c r="A2" s="5" t="inlineStr">
        <is>
          <t>Filament</t>
        </is>
      </c>
      <c r="B2" s="5" t="inlineStr">
        <is>
          <t>Primary Color (Black)</t>
        </is>
      </c>
      <c r="C2" s="5" t="n"/>
      <c r="D2" s="5" t="inlineStr">
        <is>
          <t>2</t>
        </is>
      </c>
      <c r="E2" s="5" t="inlineStr">
        <is>
          <t>All</t>
        </is>
      </c>
      <c r="F2" s="6">
        <f>HYPERLINK("https://www.paramount-3d.com/product-page/absblack","Paramount ABS")</f>
        <v/>
      </c>
      <c r="G2" s="7">
        <f>HYPERLINK("https://amzn.to/2nb63qR","[Affiliate Link]")</f>
        <v/>
      </c>
      <c r="H2" s="5" t="n"/>
      <c r="I2" s="5" t="n"/>
      <c r="J2" s="5" t="n"/>
      <c r="K2" s="5" t="n"/>
      <c r="L2" s="5" t="n"/>
      <c r="M2" s="5" t="n"/>
      <c r="N2" s="5" t="n"/>
      <c r="O2" s="5" t="n"/>
      <c r="P2" s="5" t="n"/>
      <c r="Q2" s="8" t="inlineStr">
        <is>
          <t>MakeShaper ABS</t>
        </is>
      </c>
      <c r="R2" s="29" t="inlineStr">
        <is>
          <t>some links were dead</t>
        </is>
      </c>
    </row>
    <row r="3">
      <c r="A3" s="5" t="inlineStr">
        <is>
          <t>Filament</t>
        </is>
      </c>
      <c r="B3" s="5" t="inlineStr">
        <is>
          <t>Secondary Color (Red)</t>
        </is>
      </c>
      <c r="C3" s="5" t="n"/>
      <c r="D3" s="5" t="inlineStr">
        <is>
          <t>1</t>
        </is>
      </c>
      <c r="E3" s="5" t="inlineStr">
        <is>
          <t>All</t>
        </is>
      </c>
      <c r="F3" s="6">
        <f>HYPERLINK("https://www.paramount-3d.com/product-page/abs-pantone-enzo-red-485c-1-75mm-1kg-filament-trrl3020485c","Paramount ABS")</f>
        <v/>
      </c>
      <c r="G3" s="7">
        <f>HYPERLINK("https://amzn.to/2lqEYQ1","[Affiliate Link]")</f>
        <v/>
      </c>
      <c r="H3" s="7">
        <f>HYPERLINK("https://www.amazon.com/dp/B00J0HB1YI","Hatchbox ABS")</f>
        <v/>
      </c>
      <c r="I3" s="7">
        <f>HYPERLINK("https://amzn.to/2ltf8Lj","[Affiliate Link]")</f>
        <v/>
      </c>
      <c r="J3" s="5" t="n"/>
      <c r="K3" s="5" t="n"/>
      <c r="L3" s="5" t="n"/>
      <c r="M3" s="5" t="n"/>
      <c r="N3" s="5" t="n"/>
      <c r="O3" s="5" t="n"/>
      <c r="P3" s="5" t="n"/>
      <c r="Q3" s="8" t="inlineStr">
        <is>
          <t>MakeShaper ABS</t>
        </is>
      </c>
      <c r="R3" s="29" t="inlineStr">
        <is>
          <t>some links were dead</t>
        </is>
      </c>
    </row>
    <row r="4">
      <c r="A4" s="5" t="inlineStr">
        <is>
          <t>Printed Parts</t>
        </is>
      </c>
      <c r="B4" s="5" t="inlineStr">
        <is>
          <t>Printed Parts</t>
        </is>
      </c>
      <c r="C4" s="5" t="n"/>
      <c r="D4" s="5" t="inlineStr">
        <is>
          <t>1</t>
        </is>
      </c>
      <c r="E4" s="5" t="inlineStr">
        <is>
          <t>All</t>
        </is>
      </c>
      <c r="F4" s="6">
        <f>HYPERLINK("https://pif.voron.dev/","Print It Forward")</f>
        <v/>
      </c>
      <c r="G4" s="5" t="n"/>
      <c r="H4" s="5" t="inlineStr">
        <is>
          <t>Print Yourself</t>
        </is>
      </c>
      <c r="I4" s="5" t="n"/>
      <c r="J4" s="5" t="n"/>
      <c r="K4" s="5" t="n"/>
      <c r="L4" s="5" t="n"/>
      <c r="M4" s="5" t="n"/>
      <c r="N4" s="5" t="n"/>
      <c r="O4" s="5" t="n"/>
      <c r="P4" s="5" t="n"/>
      <c r="Q4" s="5" t="n"/>
      <c r="R4" s="5" t="n"/>
    </row>
    <row r="5">
      <c r="A5" s="9" t="inlineStr">
        <is>
          <t>Fasteners</t>
        </is>
      </c>
      <c r="B5" s="9" t="inlineStr">
        <is>
          <t>M5x40 SHCS</t>
        </is>
      </c>
      <c r="C5" s="9" t="inlineStr">
        <is>
          <t>ISO 4762 / DIN 912</t>
        </is>
      </c>
      <c r="D5" s="9" t="inlineStr">
        <is>
          <t>12</t>
        </is>
      </c>
      <c r="E5" s="9" t="inlineStr">
        <is>
          <t>All</t>
        </is>
      </c>
      <c r="F5" s="10">
        <f>HYPERLINK("https://www.boltdepot.com/Product-Details.aspx?product=6527","Bolt Depot")</f>
        <v/>
      </c>
      <c r="G5" s="9" t="n"/>
      <c r="H5" s="11">
        <f>HYPERLINK("https://www.mcmaster.com/91290A196/","McMaster-Carr (10 pack)")</f>
        <v/>
      </c>
      <c r="I5" s="9" t="n"/>
      <c r="J5" s="9" t="n"/>
      <c r="K5" s="9" t="n"/>
      <c r="L5" s="9" t="n"/>
      <c r="M5" s="9" t="n"/>
      <c r="N5" s="9" t="n"/>
      <c r="O5" s="9" t="n"/>
      <c r="P5" s="9" t="n"/>
      <c r="Q5" s="9" t="n"/>
      <c r="R5" s="9" t="n"/>
    </row>
    <row r="6">
      <c r="A6" s="9" t="inlineStr">
        <is>
          <t>Fasteners</t>
        </is>
      </c>
      <c r="B6" s="9" t="inlineStr">
        <is>
          <t>M5x30 BHCS</t>
        </is>
      </c>
      <c r="C6" s="9" t="inlineStr">
        <is>
          <t>ISO 7380-1</t>
        </is>
      </c>
      <c r="D6" s="9" t="inlineStr">
        <is>
          <t>10</t>
        </is>
      </c>
      <c r="E6" s="9" t="inlineStr">
        <is>
          <t>All</t>
        </is>
      </c>
      <c r="F6" s="10">
        <f>HYPERLINK("https://www.boltdepot.com/Product-Details.aspx?product=15651","Bolt Depot")</f>
        <v/>
      </c>
      <c r="G6" s="9" t="n"/>
      <c r="H6" s="11">
        <f>HYPERLINK("https://www.boltdepot.com/Product-Details.aspx?product=13348","Bolt Depot")</f>
        <v/>
      </c>
      <c r="I6" s="9" t="n"/>
      <c r="J6" s="11">
        <f>HYPERLINK("https://www.mcmaster.com/91239A236/","McMaster-Carr (100 pack)")</f>
        <v/>
      </c>
      <c r="K6" s="9" t="n"/>
      <c r="L6" s="9" t="n"/>
      <c r="M6" s="9" t="n"/>
      <c r="N6" s="9" t="n"/>
      <c r="O6" s="9" t="n"/>
      <c r="P6" s="9" t="n"/>
      <c r="Q6" s="9" t="n"/>
      <c r="R6" s="9" t="n"/>
    </row>
    <row r="7">
      <c r="A7" s="9" t="inlineStr">
        <is>
          <t>Fasteners</t>
        </is>
      </c>
      <c r="B7" s="9" t="inlineStr">
        <is>
          <t>M5x16 BHCS</t>
        </is>
      </c>
      <c r="C7" s="9" t="inlineStr">
        <is>
          <t>ISO 7380-1</t>
        </is>
      </c>
      <c r="D7" s="9" t="inlineStr">
        <is>
          <t>40</t>
        </is>
      </c>
      <c r="E7" s="9" t="inlineStr">
        <is>
          <t>All</t>
        </is>
      </c>
      <c r="F7" s="10">
        <f>HYPERLINK("https://www.boltdepot.com/Product-Details.aspx?product=15648","Bolt Depot")</f>
        <v/>
      </c>
      <c r="G7" s="9" t="n"/>
      <c r="H7" s="11">
        <f>HYPERLINK("https://www.boltdepot.com/Product-Details.aspx?product=13345","Bolt Depot")</f>
        <v/>
      </c>
      <c r="I7" s="9" t="n"/>
      <c r="J7" s="11">
        <f>HYPERLINK("https://www.mcmaster.com/91239A232/","McMaster-Carr (100 pack)")</f>
        <v/>
      </c>
      <c r="K7" s="9" t="n"/>
      <c r="L7" s="9" t="n"/>
      <c r="M7" s="9" t="n"/>
      <c r="N7" s="9" t="n"/>
      <c r="O7" s="9" t="n"/>
      <c r="P7" s="9" t="n"/>
      <c r="Q7" s="9" t="n"/>
      <c r="R7" s="9" t="n"/>
    </row>
    <row r="8">
      <c r="A8" s="9" t="inlineStr">
        <is>
          <t>Fasteners</t>
        </is>
      </c>
      <c r="B8" s="9" t="inlineStr">
        <is>
          <t>M5x10 BHCS</t>
        </is>
      </c>
      <c r="C8" s="9" t="inlineStr">
        <is>
          <t>ISO 7380-1</t>
        </is>
      </c>
      <c r="D8" s="9" t="inlineStr">
        <is>
          <t>60</t>
        </is>
      </c>
      <c r="E8" s="9" t="inlineStr">
        <is>
          <t>All</t>
        </is>
      </c>
      <c r="F8" s="10">
        <f>HYPERLINK("https://www.boltdepot.com/Product-Details.aspx?product=15646","Bolt Depot")</f>
        <v/>
      </c>
      <c r="G8" s="9" t="n"/>
      <c r="H8" s="11">
        <f>HYPERLINK("https://www.boltdepot.com/Product-Details.aspx?product=13343","Bolt Depot")</f>
        <v/>
      </c>
      <c r="I8" s="9" t="n"/>
      <c r="J8" s="11">
        <f>HYPERLINK("https://www.mcmaster.com/91239A224/","McMaster-Carr (100 pack)")</f>
        <v/>
      </c>
      <c r="K8" s="9" t="n"/>
      <c r="L8" s="9" t="n"/>
      <c r="M8" s="9" t="n"/>
      <c r="N8" s="9" t="n"/>
      <c r="O8" s="9" t="n"/>
      <c r="P8" s="9" t="n"/>
      <c r="Q8" s="9" t="n"/>
      <c r="R8" s="9" t="n"/>
    </row>
    <row r="9">
      <c r="A9" s="9" t="inlineStr">
        <is>
          <t>Fasteners</t>
        </is>
      </c>
      <c r="B9" s="9" t="inlineStr">
        <is>
          <t>M4x6 BHCS</t>
        </is>
      </c>
      <c r="C9" s="9" t="inlineStr">
        <is>
          <t>ISO 7380-1</t>
        </is>
      </c>
      <c r="D9" s="9" t="inlineStr">
        <is>
          <t>3</t>
        </is>
      </c>
      <c r="E9" s="9" t="inlineStr">
        <is>
          <t>All</t>
        </is>
      </c>
      <c r="F9" s="10">
        <f>HYPERLINK("https://www.boltdepot.com/Product-Details.aspx?product=18944","Bolt Depot")</f>
        <v/>
      </c>
      <c r="G9" s="9" t="n"/>
      <c r="H9" s="11">
        <f>HYPERLINK("https://www.mcmaster.com/91239A138/","McMaster-Carr (100 pack)")</f>
        <v/>
      </c>
      <c r="I9" s="9" t="n"/>
      <c r="J9" s="9" t="n"/>
      <c r="K9" s="9" t="n"/>
      <c r="L9" s="9" t="n"/>
      <c r="M9" s="9" t="n"/>
      <c r="N9" s="9" t="n"/>
      <c r="O9" s="9" t="n"/>
      <c r="P9" s="9" t="n"/>
      <c r="Q9" s="9" t="n"/>
      <c r="R9" s="9" t="n"/>
    </row>
    <row r="10">
      <c r="A10" s="9" t="inlineStr">
        <is>
          <t>Fasteners</t>
        </is>
      </c>
      <c r="B10" s="9" t="inlineStr">
        <is>
          <t>M3x40 SHCS</t>
        </is>
      </c>
      <c r="C10" s="9" t="inlineStr">
        <is>
          <t>ISO 4762 / DIN 912</t>
        </is>
      </c>
      <c r="D10" s="9" t="inlineStr">
        <is>
          <t>28</t>
        </is>
      </c>
      <c r="E10" s="9" t="inlineStr">
        <is>
          <t>All</t>
        </is>
      </c>
      <c r="F10" s="10">
        <f>HYPERLINK("https://www.boltdepot.com/Product-Details.aspx?product=6387","Bolt Depot")</f>
        <v/>
      </c>
      <c r="G10" s="9" t="n"/>
      <c r="H10" s="11">
        <f>HYPERLINK("https://www.mcmaster.com/91290A136/","McMaster-Carr (25 pack)")</f>
        <v/>
      </c>
      <c r="I10" s="9" t="n"/>
      <c r="J10" s="9" t="n"/>
      <c r="K10" s="9" t="n"/>
      <c r="L10" s="9" t="n"/>
      <c r="M10" s="9" t="n"/>
      <c r="N10" s="9" t="n"/>
      <c r="O10" s="9" t="n"/>
      <c r="P10" s="9" t="n"/>
      <c r="Q10" s="9" t="n"/>
      <c r="R10" s="9" t="n"/>
    </row>
    <row r="11">
      <c r="A11" s="9" t="inlineStr">
        <is>
          <t>Fasteners</t>
        </is>
      </c>
      <c r="B11" s="9" t="inlineStr">
        <is>
          <t>M3x30 SHCS</t>
        </is>
      </c>
      <c r="C11" s="9" t="inlineStr">
        <is>
          <t>ISO 4762 / DIN 912</t>
        </is>
      </c>
      <c r="D11" s="9" t="inlineStr">
        <is>
          <t>8</t>
        </is>
      </c>
      <c r="E11" s="9" t="inlineStr">
        <is>
          <t>All</t>
        </is>
      </c>
      <c r="F11" s="10">
        <f>HYPERLINK("https://www.boltdepot.com/Product-Details.aspx?product=13641","Bolt Depot")</f>
        <v/>
      </c>
      <c r="G11" s="9" t="n"/>
      <c r="H11" s="11">
        <f>HYPERLINK("https://www.mcmaster.com/91290A171/","McMaster-Carr (10 pack)")</f>
        <v/>
      </c>
      <c r="I11" s="9" t="n"/>
      <c r="J11" s="9" t="n"/>
      <c r="K11" s="9" t="n"/>
      <c r="L11" s="9" t="n"/>
      <c r="M11" s="9" t="n"/>
      <c r="N11" s="9" t="n"/>
      <c r="O11" s="9" t="n"/>
      <c r="P11" s="9" t="n"/>
      <c r="Q11" s="9" t="n"/>
      <c r="R11" s="9" t="n"/>
    </row>
    <row r="12">
      <c r="A12" s="9" t="inlineStr">
        <is>
          <t>Fasteners</t>
        </is>
      </c>
      <c r="B12" s="9" t="inlineStr">
        <is>
          <t>M3x25 SHCS</t>
        </is>
      </c>
      <c r="C12" s="9" t="inlineStr">
        <is>
          <t>ISO 4762 / DIN 912</t>
        </is>
      </c>
      <c r="D12" s="9" t="inlineStr">
        <is>
          <t>4</t>
        </is>
      </c>
      <c r="E12" s="9" t="inlineStr">
        <is>
          <t>All</t>
        </is>
      </c>
      <c r="F12" s="10">
        <f>HYPERLINK("https://www.boltdepot.com/Product-Details.aspx?product=13640","Bolt Depot")</f>
        <v/>
      </c>
      <c r="G12" s="9" t="n"/>
      <c r="H12" s="11">
        <f>HYPERLINK("https://www.mcmaster.com/91290A125/","McMaster-Carr (100 pack)")</f>
        <v/>
      </c>
      <c r="I12" s="9" t="n"/>
      <c r="J12" s="9" t="n"/>
      <c r="K12" s="9" t="n"/>
      <c r="L12" s="9" t="n"/>
      <c r="M12" s="9" t="n"/>
      <c r="N12" s="9" t="n"/>
      <c r="O12" s="9" t="n"/>
      <c r="P12" s="9" t="n"/>
      <c r="Q12" s="9" t="n"/>
      <c r="R12" s="9" t="n"/>
    </row>
    <row r="13">
      <c r="A13" s="9" t="inlineStr">
        <is>
          <t>Fasteners</t>
        </is>
      </c>
      <c r="B13" s="9" t="inlineStr">
        <is>
          <t>M3x20 SHCS</t>
        </is>
      </c>
      <c r="C13" s="9" t="inlineStr">
        <is>
          <t>ISO 4762 / DIN 912</t>
        </is>
      </c>
      <c r="D13" s="9" t="inlineStr">
        <is>
          <t>43</t>
        </is>
      </c>
      <c r="E13" s="9" t="inlineStr">
        <is>
          <t>All</t>
        </is>
      </c>
      <c r="F13" s="10">
        <f>HYPERLINK("https://www.boltdepot.com/Product-Details.aspx?product=13639","Bolt Depot")</f>
        <v/>
      </c>
      <c r="G13" s="9" t="n"/>
      <c r="H13" s="11">
        <f>HYPERLINK("https://www.mcmaster.com/91290A123/","McMaster-Carr (100 pack)")</f>
        <v/>
      </c>
      <c r="I13" s="9" t="n"/>
      <c r="J13" s="9" t="n"/>
      <c r="K13" s="9" t="n"/>
      <c r="L13" s="9" t="n"/>
      <c r="M13" s="9" t="n"/>
      <c r="N13" s="9" t="n"/>
      <c r="O13" s="9" t="n"/>
      <c r="P13" s="9" t="n"/>
      <c r="Q13" s="9" t="n"/>
      <c r="R13" s="9" t="n"/>
    </row>
    <row r="14">
      <c r="A14" s="9" t="inlineStr">
        <is>
          <t>Fasteners</t>
        </is>
      </c>
      <c r="B14" s="9" t="inlineStr">
        <is>
          <t>M3x16 SHCS</t>
        </is>
      </c>
      <c r="C14" s="9" t="inlineStr">
        <is>
          <t>ISO 4762 / DIN 912</t>
        </is>
      </c>
      <c r="D14" s="9" t="inlineStr">
        <is>
          <t>25</t>
        </is>
      </c>
      <c r="E14" s="9" t="inlineStr">
        <is>
          <t>All</t>
        </is>
      </c>
      <c r="F14" s="10">
        <f>HYPERLINK("https://www.boltdepot.com/Product-Details.aspx?product=13638","Bolt Depot")</f>
        <v/>
      </c>
      <c r="G14" s="9" t="n"/>
      <c r="H14" s="11">
        <f>HYPERLINK("https://www.mcmaster.com/91290A120/","McMaster-Carr (100 pack)")</f>
        <v/>
      </c>
      <c r="I14" s="9" t="n"/>
      <c r="J14" s="9" t="n"/>
      <c r="K14" s="9" t="n"/>
      <c r="L14" s="9" t="n"/>
      <c r="M14" s="9" t="n"/>
      <c r="N14" s="9" t="n"/>
      <c r="O14" s="9" t="n"/>
      <c r="P14" s="9" t="n"/>
      <c r="Q14" s="9" t="n"/>
      <c r="R14" s="9" t="n"/>
    </row>
    <row r="15">
      <c r="A15" s="9" t="inlineStr">
        <is>
          <t>Fasteners</t>
        </is>
      </c>
      <c r="B15" s="9" t="inlineStr">
        <is>
          <t>M3x12 SHCS</t>
        </is>
      </c>
      <c r="C15" s="9" t="inlineStr">
        <is>
          <t>ISO 4762 / DIN 912</t>
        </is>
      </c>
      <c r="D15" s="9" t="inlineStr">
        <is>
          <t>42</t>
        </is>
      </c>
      <c r="E15" s="9" t="inlineStr">
        <is>
          <t>All</t>
        </is>
      </c>
      <c r="F15" s="10">
        <f>HYPERLINK("https://www.boltdepot.com/Product-Details.aspx?product=13637","Bolt Depot")</f>
        <v/>
      </c>
      <c r="G15" s="9" t="n"/>
      <c r="H15" s="11">
        <f>HYPERLINK("https://www.mcmaster.com/91290A117/","McMaster-Carr (100 pack)")</f>
        <v/>
      </c>
      <c r="I15" s="9" t="n"/>
      <c r="J15" s="9" t="n"/>
      <c r="K15" s="9" t="n"/>
      <c r="L15" s="9" t="n"/>
      <c r="M15" s="9" t="n"/>
      <c r="N15" s="9" t="n"/>
      <c r="O15" s="9" t="n"/>
      <c r="P15" s="9" t="n"/>
      <c r="Q15" s="9" t="n"/>
      <c r="R15" s="9" t="n"/>
    </row>
    <row r="16">
      <c r="A16" s="9" t="inlineStr">
        <is>
          <t>Fasteners</t>
        </is>
      </c>
      <c r="B16" s="9" t="inlineStr">
        <is>
          <t>M3x8 SHCS</t>
        </is>
      </c>
      <c r="C16" s="9" t="inlineStr">
        <is>
          <t>ISO 4762 / DIN 912</t>
        </is>
      </c>
      <c r="D16" s="9" t="inlineStr">
        <is>
          <t>150</t>
        </is>
      </c>
      <c r="E16" s="9" t="inlineStr">
        <is>
          <t>All</t>
        </is>
      </c>
      <c r="F16" s="10">
        <f>HYPERLINK("https://www.boltdepot.com/Product-Details.aspx?product=13635","Bolt Depot")</f>
        <v/>
      </c>
      <c r="G16" s="9" t="n"/>
      <c r="H16" s="11">
        <f>HYPERLINK("https://www.boltdepot.com/Product-Details.aspx?product=13633","Bolt Depot")</f>
        <v/>
      </c>
      <c r="I16" s="9" t="n"/>
      <c r="J16" s="11">
        <f>HYPERLINK("https://www.mcmaster.com/91290A113/","McMaster-Carr (100 pack)")</f>
        <v/>
      </c>
      <c r="K16" s="9" t="n"/>
      <c r="L16" s="9" t="n"/>
      <c r="M16" s="9" t="n"/>
      <c r="N16" s="9" t="n"/>
      <c r="O16" s="9" t="n"/>
      <c r="P16" s="9" t="n"/>
      <c r="Q16" s="9" t="n"/>
      <c r="R16" s="9" t="n"/>
    </row>
    <row r="17">
      <c r="A17" s="9" t="inlineStr">
        <is>
          <t>Fasteners</t>
        </is>
      </c>
      <c r="B17" s="9" t="inlineStr">
        <is>
          <t>M3x6 BHCS</t>
        </is>
      </c>
      <c r="C17" s="9" t="inlineStr">
        <is>
          <t>ISO 7380-1</t>
        </is>
      </c>
      <c r="D17" s="9" t="inlineStr">
        <is>
          <t>12</t>
        </is>
      </c>
      <c r="E17" s="9" t="inlineStr">
        <is>
          <t>All</t>
        </is>
      </c>
      <c r="F17" s="10">
        <f>HYPERLINK("https://www.boltdepot.com/Product-Details.aspx?product=13334","Bolt Depot")</f>
        <v/>
      </c>
      <c r="G17" s="9" t="n"/>
      <c r="H17" s="11">
        <f>HYPERLINK("https://www.boltdepot.com/Metric_socket_button_head_Class_12.9_alloy_steel_black_oxide_finish_3mm_x_0.5mm.aspx","Bolt Depot")</f>
        <v/>
      </c>
      <c r="I17" s="9" t="n"/>
      <c r="J17" s="11">
        <f>HYPERLINK("https://www.mcmaster.com/91239A111/","McMaster-Carr (100 pack)")</f>
        <v/>
      </c>
      <c r="K17" s="9" t="n"/>
      <c r="L17" s="11">
        <f>HYPERLINK("https://s.click.aliexpress.com/e/_d7V4XEq","Aliexpress")</f>
        <v/>
      </c>
      <c r="M17" s="9" t="n"/>
      <c r="N17" s="9" t="n"/>
      <c r="O17" s="9" t="n"/>
      <c r="P17" s="9" t="n"/>
      <c r="Q17" s="9" t="n"/>
      <c r="R17" s="9" t="n"/>
    </row>
    <row r="18">
      <c r="A18" s="9" t="inlineStr">
        <is>
          <t>Fasteners</t>
        </is>
      </c>
      <c r="B18" s="9" t="inlineStr">
        <is>
          <t>M2x12 Self Tapping Screw for Plastics</t>
        </is>
      </c>
      <c r="C18" s="9" t="n"/>
      <c r="D18" s="9" t="inlineStr">
        <is>
          <t>6</t>
        </is>
      </c>
      <c r="E18" s="9" t="inlineStr">
        <is>
          <t>All</t>
        </is>
      </c>
      <c r="F18" s="10">
        <f>HYPERLINK("https://www.mcmaster.com/99397A269/","McMaster-Carr (50 pack)")</f>
        <v/>
      </c>
      <c r="G18" s="9" t="n"/>
      <c r="H18" s="9" t="n"/>
      <c r="I18" s="9" t="n"/>
      <c r="J18" s="9" t="n"/>
      <c r="K18" s="9" t="n"/>
      <c r="L18" s="9" t="n"/>
      <c r="M18" s="9" t="n"/>
      <c r="N18" s="9" t="n"/>
      <c r="O18" s="9" t="n"/>
      <c r="P18" s="9" t="n"/>
      <c r="Q18" s="9" t="n"/>
      <c r="R18" s="12" t="inlineStr">
        <is>
          <t>some links were dead</t>
        </is>
      </c>
    </row>
    <row r="19">
      <c r="A19" s="9" t="inlineStr">
        <is>
          <t>Fasteners</t>
        </is>
      </c>
      <c r="B19" s="9" t="inlineStr">
        <is>
          <t>M2x8 Self Tapping Screw for Plastics</t>
        </is>
      </c>
      <c r="C19" s="9" t="n"/>
      <c r="D19" s="9" t="inlineStr">
        <is>
          <t>18</t>
        </is>
      </c>
      <c r="E19" s="9" t="inlineStr">
        <is>
          <t>All</t>
        </is>
      </c>
      <c r="F19" s="10">
        <f>HYPERLINK("https://www.mcmaster.com/99397A264/","McMaster-Carr (50 pack)")</f>
        <v/>
      </c>
      <c r="G19" s="9" t="n"/>
      <c r="H19" s="9" t="n"/>
      <c r="I19" s="9" t="n"/>
      <c r="J19" s="9" t="n"/>
      <c r="K19" s="9" t="n"/>
      <c r="L19" s="9" t="n"/>
      <c r="M19" s="9" t="n"/>
      <c r="N19" s="9" t="n"/>
      <c r="O19" s="9" t="n"/>
      <c r="P19" s="9" t="n"/>
      <c r="Q19" s="9" t="n"/>
      <c r="R19" s="12" t="inlineStr">
        <is>
          <t>some links were dead</t>
        </is>
      </c>
    </row>
    <row r="20">
      <c r="A20" s="9" t="inlineStr">
        <is>
          <t>Fasteners</t>
        </is>
      </c>
      <c r="B20" s="9" t="inlineStr">
        <is>
          <t>10x16x0.2 Shim Ring</t>
        </is>
      </c>
      <c r="C20" s="9" t="inlineStr">
        <is>
          <t>DIN 988</t>
        </is>
      </c>
      <c r="D20" s="9" t="inlineStr">
        <is>
          <t>4</t>
        </is>
      </c>
      <c r="E20" s="9" t="inlineStr">
        <is>
          <t>All</t>
        </is>
      </c>
      <c r="F20" s="10">
        <f>HYPERLINK("https://www.aliexpress.com/item/32918722399.html","Aliexpress")</f>
        <v/>
      </c>
      <c r="G20" s="11">
        <f>HYPERLINK("https://s.click.aliexpress.com/e/N4iraNbS","[Affiliate Link]")</f>
        <v/>
      </c>
      <c r="H20" s="11">
        <f>HYPERLINK("https://www.mcmaster.com/98055A119/","McMaster-Carr (50 pack)")</f>
        <v/>
      </c>
      <c r="I20" s="9" t="n"/>
      <c r="J20" s="9" t="n"/>
      <c r="K20" s="9" t="n"/>
      <c r="L20" s="9" t="n"/>
      <c r="M20" s="9" t="n"/>
      <c r="N20" s="9" t="n"/>
      <c r="O20" s="9" t="n"/>
      <c r="P20" s="9" t="n"/>
      <c r="Q20" s="9" t="n"/>
      <c r="R20" s="12" t="inlineStr">
        <is>
          <t>some links were dead</t>
        </is>
      </c>
    </row>
    <row r="21">
      <c r="A21" s="9" t="inlineStr">
        <is>
          <t>Fasteners</t>
        </is>
      </c>
      <c r="B21" s="9" t="inlineStr">
        <is>
          <t>5x10x1 Shim Ring</t>
        </is>
      </c>
      <c r="C21" s="9" t="inlineStr">
        <is>
          <t>DIN 988</t>
        </is>
      </c>
      <c r="D21" s="9" t="inlineStr">
        <is>
          <t>26</t>
        </is>
      </c>
      <c r="E21" s="9" t="inlineStr">
        <is>
          <t>All</t>
        </is>
      </c>
      <c r="F21" s="10">
        <f>HYPERLINK("https://www.aliexpress.com/item/32917948919.html","Aliexpress")</f>
        <v/>
      </c>
      <c r="G21" s="11">
        <f>HYPERLINK("https://s.click.aliexpress.com/e/41Vkdm7q","[Affiliate Link]")</f>
        <v/>
      </c>
      <c r="H21" s="11">
        <f>HYPERLINK("https://www.mcmaster.com/98055A099/","McMaster-Carr (50 pack)")</f>
        <v/>
      </c>
      <c r="I21" s="9" t="n"/>
      <c r="J21" s="11">
        <f>HYPERLINK("https://s.click.aliexpress.com/e/41Vkdm7q","AliExpress")</f>
        <v/>
      </c>
      <c r="K21" s="9" t="n"/>
      <c r="L21" s="9" t="n"/>
      <c r="M21" s="9" t="n"/>
      <c r="N21" s="9" t="n"/>
      <c r="O21" s="9" t="n"/>
      <c r="P21" s="9" t="n"/>
      <c r="Q21" s="9" t="n"/>
      <c r="R21" s="9" t="n"/>
    </row>
    <row r="22">
      <c r="A22" s="9" t="inlineStr">
        <is>
          <t>Fasteners</t>
        </is>
      </c>
      <c r="B22" s="9" t="inlineStr">
        <is>
          <t>5x10x0.5 Shim Ring</t>
        </is>
      </c>
      <c r="C22" s="9" t="inlineStr">
        <is>
          <t>DIN 988</t>
        </is>
      </c>
      <c r="D22" s="9" t="inlineStr">
        <is>
          <t>8</t>
        </is>
      </c>
      <c r="E22" s="9" t="inlineStr">
        <is>
          <t>All</t>
        </is>
      </c>
      <c r="F22" s="10">
        <f>HYPERLINK("https://www.aliexpress.com/item/32917948919.html","Aliexpress")</f>
        <v/>
      </c>
      <c r="G22" s="11">
        <f>HYPERLINK("https://s.click.aliexpress.com/e/2csTObT6","[Affiliate Link]")</f>
        <v/>
      </c>
      <c r="H22" s="11">
        <f>HYPERLINK("https://www.mcmaster.com/98055A098/","McMaster-Carr (50 pack)")</f>
        <v/>
      </c>
      <c r="I22" s="9" t="n"/>
      <c r="J22" s="9" t="n"/>
      <c r="K22" s="9" t="n"/>
      <c r="L22" s="9" t="n"/>
      <c r="M22" s="9" t="n"/>
      <c r="N22" s="9" t="n"/>
      <c r="O22" s="9" t="n"/>
      <c r="P22" s="9" t="n"/>
      <c r="Q22" s="9" t="n"/>
      <c r="R22" s="12" t="inlineStr">
        <is>
          <t>some links were dead</t>
        </is>
      </c>
    </row>
    <row r="23">
      <c r="A23" s="9" t="inlineStr">
        <is>
          <t>Fasteners</t>
        </is>
      </c>
      <c r="B23" s="9" t="inlineStr">
        <is>
          <t>M3 Washer</t>
        </is>
      </c>
      <c r="C23" s="9" t="inlineStr">
        <is>
          <t>ISO 7089 / DIN 125</t>
        </is>
      </c>
      <c r="D23" s="9" t="inlineStr">
        <is>
          <t>11</t>
        </is>
      </c>
      <c r="E23" s="9" t="inlineStr">
        <is>
          <t>All</t>
        </is>
      </c>
      <c r="F23" s="10">
        <f>HYPERLINK("https://www.boltdepot.com/Product-Details.aspx?product=4513","Bolt Depot")</f>
        <v/>
      </c>
      <c r="G23" s="9" t="n"/>
      <c r="H23" s="11">
        <f>HYPERLINK("https://www.mcmaster.com/93475A210/","McMaster-Carr (100 pack)")</f>
        <v/>
      </c>
      <c r="I23" s="9" t="n"/>
      <c r="J23" s="9" t="n"/>
      <c r="K23" s="9" t="n"/>
      <c r="L23" s="9" t="n"/>
      <c r="M23" s="9" t="n"/>
      <c r="N23" s="9" t="n"/>
      <c r="O23" s="9" t="n"/>
      <c r="P23" s="9" t="n"/>
      <c r="Q23" s="9" t="n"/>
      <c r="R23" s="9" t="n"/>
    </row>
    <row r="24">
      <c r="A24" s="9" t="inlineStr">
        <is>
          <t>Fasteners</t>
        </is>
      </c>
      <c r="B24" s="9" t="inlineStr">
        <is>
          <t>M5 Hexnut</t>
        </is>
      </c>
      <c r="C24" s="9" t="inlineStr">
        <is>
          <t>ISO 4033 / DIN 934</t>
        </is>
      </c>
      <c r="D24" s="9" t="inlineStr">
        <is>
          <t>2</t>
        </is>
      </c>
      <c r="E24" s="9" t="inlineStr">
        <is>
          <t>All</t>
        </is>
      </c>
      <c r="F24" s="10">
        <f>HYPERLINK("https://www.boltdepot.com/Product-Details.aspx?product=4785","Bolt Depot")</f>
        <v/>
      </c>
      <c r="G24" s="9" t="n"/>
      <c r="H24" s="11">
        <f>HYPERLINK("https://www.boltdepot.com/Metric_hex_nuts_Stainless_steel_18-8_(A-2).aspx","Bolt Depot")</f>
        <v/>
      </c>
      <c r="I24" s="9" t="n"/>
      <c r="J24" s="9" t="n"/>
      <c r="K24" s="9" t="n"/>
      <c r="L24" s="9" t="n"/>
      <c r="M24" s="9" t="n"/>
      <c r="N24" s="9" t="n"/>
      <c r="O24" s="9" t="n"/>
      <c r="P24" s="9" t="n"/>
      <c r="Q24" s="9" t="n"/>
      <c r="R24" s="9" t="n"/>
    </row>
    <row r="25">
      <c r="A25" s="9" t="inlineStr">
        <is>
          <t>Fasteners</t>
        </is>
      </c>
      <c r="B25" s="9" t="inlineStr">
        <is>
          <t>M5 Locknut</t>
        </is>
      </c>
      <c r="C25" s="9" t="inlineStr">
        <is>
          <t>ISO 10511 / DIN 985</t>
        </is>
      </c>
      <c r="D25" s="9" t="inlineStr">
        <is>
          <t>10</t>
        </is>
      </c>
      <c r="E25" s="9" t="inlineStr">
        <is>
          <t>All</t>
        </is>
      </c>
      <c r="F25" s="10">
        <f>HYPERLINK("https://www.boltdepot.com/Product-Details.aspx?product=4803","Bolt Depot")</f>
        <v/>
      </c>
      <c r="G25" s="9" t="n"/>
      <c r="H25" s="11">
        <f>HYPERLINK("https://www.mcmaster.com/90576A104/","McMaster-Carr (100 pack)")</f>
        <v/>
      </c>
      <c r="I25" s="9" t="n"/>
      <c r="J25" s="9" t="n"/>
      <c r="K25" s="9" t="n"/>
      <c r="L25" s="9" t="n"/>
      <c r="M25" s="9" t="n"/>
      <c r="N25" s="9" t="n"/>
      <c r="O25" s="9" t="n"/>
      <c r="P25" s="9" t="n"/>
      <c r="Q25" s="9" t="n"/>
      <c r="R25" s="9" t="n"/>
    </row>
    <row r="26">
      <c r="A26" s="9" t="inlineStr">
        <is>
          <t>Hardware</t>
        </is>
      </c>
      <c r="B26" s="9" t="inlineStr">
        <is>
          <t>M3 Hexnut</t>
        </is>
      </c>
      <c r="C26" s="9" t="inlineStr">
        <is>
          <t>ISO 4033 / DIN 934</t>
        </is>
      </c>
      <c r="D26" s="9" t="inlineStr">
        <is>
          <t>64</t>
        </is>
      </c>
      <c r="E26" s="9" t="inlineStr">
        <is>
          <t>All</t>
        </is>
      </c>
      <c r="F26" s="10">
        <f>HYPERLINK("https://www.boltdepot.com/Product-Details.aspx?product=4783","Bolt Depot")</f>
        <v/>
      </c>
      <c r="G26" s="9" t="n"/>
      <c r="H26" s="11">
        <f>HYPERLINK("https://www.boltdepot.com/Metric_hex_nuts_Stainless_steel_18-8_(A-2).aspx","Bolt Depot")</f>
        <v/>
      </c>
      <c r="I26" s="9" t="n"/>
      <c r="J26" s="11">
        <f>HYPERLINK("https://www.mcmaster.com/90591A250/","McMaster-Carr (100 pack)")</f>
        <v/>
      </c>
      <c r="K26" s="9" t="n"/>
      <c r="L26" s="11">
        <f>HYPERLINK("https://www.aliexpress.com/item/32977174437.html","Aliexpress")</f>
        <v/>
      </c>
      <c r="M26" s="9" t="n"/>
      <c r="N26" s="9" t="n"/>
      <c r="O26" s="9" t="n"/>
      <c r="P26" s="9" t="n"/>
      <c r="Q26" s="9" t="n"/>
      <c r="R26" s="9" t="n"/>
    </row>
    <row r="27">
      <c r="A27" s="9" t="inlineStr">
        <is>
          <t>Fasteners</t>
        </is>
      </c>
      <c r="B27" s="9" t="inlineStr">
        <is>
          <t>M3 Locknut</t>
        </is>
      </c>
      <c r="C27" s="9" t="inlineStr">
        <is>
          <t>DIN 985</t>
        </is>
      </c>
      <c r="D27" s="9" t="inlineStr">
        <is>
          <t>4</t>
        </is>
      </c>
      <c r="E27" s="9" t="inlineStr">
        <is>
          <t>All</t>
        </is>
      </c>
      <c r="F27" s="10">
        <f>HYPERLINK("https://www.boltdepot.com/Product-Details.aspx?product=4370","Bolt Depot")</f>
        <v/>
      </c>
      <c r="G27" s="9" t="n"/>
      <c r="H27" s="11">
        <f>HYPERLINK("https://www.boltdepot.com/Product-Details.aspx?product=4792","Bolt Depot")</f>
        <v/>
      </c>
      <c r="I27" s="9" t="n"/>
      <c r="J27" s="11">
        <f>HYPERLINK("https://www.mcmaster.com/90576A102/","McMaster-Carr (100 pack)")</f>
        <v/>
      </c>
      <c r="K27" s="9" t="n"/>
      <c r="L27" s="11">
        <f>HYPERLINK("https://www.aliexpress.com/item/32988995881.html","Aliexpress")</f>
        <v/>
      </c>
      <c r="M27" s="9" t="n"/>
      <c r="N27" s="11">
        <f>HYPERLINK("https://www.amazon.com/dp/B07BD24MXV","Amazon")</f>
        <v/>
      </c>
      <c r="O27" s="9" t="n"/>
      <c r="P27" s="11">
        <f>HYPERLINK("https://www.mcmaster.com/93625A100/","McMaster-Carr (100 pack)")</f>
        <v/>
      </c>
      <c r="Q27" s="9" t="n"/>
      <c r="R27" s="9" t="n"/>
    </row>
    <row r="28">
      <c r="A28" s="9" t="inlineStr">
        <is>
          <t>Fasteners</t>
        </is>
      </c>
      <c r="B28" s="9" t="inlineStr">
        <is>
          <t>M3 T-nut HNTAJ5-3</t>
        </is>
      </c>
      <c r="C28" s="9" t="n"/>
      <c r="D28" s="9" t="inlineStr">
        <is>
          <t>120</t>
        </is>
      </c>
      <c r="E28" s="9" t="inlineStr">
        <is>
          <t>All</t>
        </is>
      </c>
      <c r="F28" s="10">
        <f>HYPERLINK("https://us.misumi-ec.com/vona2/detail/110302247910","Misumi")</f>
        <v/>
      </c>
      <c r="G28" s="9" t="n"/>
      <c r="H28" s="11">
        <f>HYPERLINK("https://www.aliexpress.com/item/32805163712.html","ZFhong")</f>
        <v/>
      </c>
      <c r="I28" s="11">
        <f>HYPERLINK("https://s.click.aliexpress.com/e/KUHCwnu4","[Affiliate Link]")</f>
        <v/>
      </c>
      <c r="J28" s="11">
        <f>HYPERLINK("https://www.aliexpress.com/item/32706208829.html","Link CNC")</f>
        <v/>
      </c>
      <c r="K28" s="11">
        <f>HYPERLINK("https://s.click.aliexpress.com/e/CjL58TXS","[Affiliate Link]")</f>
        <v/>
      </c>
      <c r="L28" s="9" t="n"/>
      <c r="M28" s="9" t="n"/>
      <c r="N28" s="9" t="n"/>
      <c r="O28" s="9" t="n"/>
      <c r="P28" s="9" t="n"/>
      <c r="Q28" s="13" t="inlineStr">
        <is>
          <t>M3 Misumi nuts are not required for any specific locations like the M5 nuts. You can source cheaper if you would like to save a little money</t>
        </is>
      </c>
      <c r="R28" s="9" t="n"/>
    </row>
    <row r="29">
      <c r="A29" s="9" t="inlineStr">
        <is>
          <t>Fasteners</t>
        </is>
      </c>
      <c r="B29" s="9" t="inlineStr">
        <is>
          <t>M5 T-nut HNTAJ5-5</t>
        </is>
      </c>
      <c r="C29" s="9" t="n"/>
      <c r="D29" s="9" t="inlineStr">
        <is>
          <t>87</t>
        </is>
      </c>
      <c r="E29" s="9" t="inlineStr">
        <is>
          <t>All</t>
        </is>
      </c>
      <c r="F29" s="10">
        <f>HYPERLINK("https://us.misumi-ec.com/vona2/detail/110302247910","Misumi")</f>
        <v/>
      </c>
      <c r="G29" s="9" t="n"/>
      <c r="H29" s="11">
        <f>HYPERLINK("https://www.aliexpress.com/item/32805163712.html","ZFhong")</f>
        <v/>
      </c>
      <c r="I29" s="11">
        <f>HYPERLINK("https://s.click.aliexpress.com/e/Cj06YPR2","[Affiliate Link]")</f>
        <v/>
      </c>
      <c r="J29" s="11">
        <f>HYPERLINK("https://www.aliexpress.com/item/32706208829.html","Link CNC")</f>
        <v/>
      </c>
      <c r="K29" s="11">
        <f>HYPERLINK("https://s.click.aliexpress.com/e/rRVnt3M4","[Affiliate Link]")</f>
        <v/>
      </c>
      <c r="L29" s="9" t="n"/>
      <c r="M29" s="9" t="n"/>
      <c r="N29" s="9" t="n"/>
      <c r="O29" s="9" t="n"/>
      <c r="P29" s="9" t="n"/>
      <c r="Q29" s="9" t="n"/>
      <c r="R29" s="9" t="n"/>
    </row>
    <row r="30">
      <c r="A30" s="9" t="inlineStr">
        <is>
          <t>Fasteners</t>
        </is>
      </c>
      <c r="B30" s="9" t="inlineStr">
        <is>
          <t>#4 x 3/8 Flat Head Self Tapping Screw</t>
        </is>
      </c>
      <c r="C30" s="9" t="n"/>
      <c r="D30" s="9" t="inlineStr">
        <is>
          <t>2</t>
        </is>
      </c>
      <c r="E30" s="9" t="inlineStr">
        <is>
          <t>All</t>
        </is>
      </c>
      <c r="F30" s="10">
        <f>HYPERLINK("https://www.boltdepot.com/Product-Details.aspx?product=2423","Bolt Depot")</f>
        <v/>
      </c>
      <c r="G30" s="9" t="n"/>
      <c r="H30" s="11">
        <f>HYPERLINK("https://www.mcmaster.com/90048A108/","McMaster-Carr (100 pack)")</f>
        <v/>
      </c>
      <c r="I30" s="9" t="n"/>
      <c r="J30" s="9" t="n"/>
      <c r="K30" s="9" t="n"/>
      <c r="L30" s="9" t="n"/>
      <c r="M30" s="9" t="n"/>
      <c r="N30" s="9" t="n"/>
      <c r="O30" s="9" t="n"/>
      <c r="P30" s="9" t="n"/>
      <c r="Q30" s="13" t="inlineStr">
        <is>
          <t>M3 x 8mm OK Also</t>
        </is>
      </c>
      <c r="R30" s="9" t="n"/>
    </row>
    <row r="31">
      <c r="A31" s="14" t="inlineStr">
        <is>
          <t>Motion</t>
        </is>
      </c>
      <c r="B31" s="14" t="inlineStr">
        <is>
          <t>GT2 Open Belt LL-2GT-6 (6mm wide) - Length Dependant on Config</t>
        </is>
      </c>
      <c r="C31" s="14" t="n"/>
      <c r="D31" s="14" t="inlineStr">
        <is>
          <t>2</t>
        </is>
      </c>
      <c r="E31" s="14" t="inlineStr">
        <is>
          <t>All</t>
        </is>
      </c>
      <c r="F31" s="15">
        <f>HYPERLINK("https://www.aliexpress.com/item/32853559638.html","Trianglelab")</f>
        <v/>
      </c>
      <c r="G31" s="16">
        <f>HYPERLINK("https://s.click.aliexpress.com/e/2pncOJKs","[Affiliate Link]")</f>
        <v/>
      </c>
      <c r="H31" s="16">
        <f>HYPERLINK("https://www.aliexpress.com/item/32987817703.html","POWGE")</f>
        <v/>
      </c>
      <c r="I31" s="16">
        <f>HYPERLINK("https://s.click.aliexpress.com/e/_9G8ynJ","[Affiliate Link]")</f>
        <v/>
      </c>
      <c r="J31" s="14" t="n"/>
      <c r="K31" s="14" t="n"/>
      <c r="L31" s="14" t="n"/>
      <c r="M31" s="14" t="n"/>
      <c r="N31" s="14" t="n"/>
      <c r="O31" s="14" t="n"/>
      <c r="P31" s="14" t="n"/>
      <c r="Q31" s="17" t="inlineStr">
        <is>
          <t>GATES belts are required for every open loop belt on the machine. SDP-SI is a US gates reseller (and tested)</t>
        </is>
      </c>
      <c r="R31" s="18" t="inlineStr">
        <is>
          <t>some links were dead</t>
        </is>
      </c>
    </row>
    <row r="32">
      <c r="A32" s="14" t="inlineStr">
        <is>
          <t>Motion</t>
        </is>
      </c>
      <c r="B32" s="14" t="inlineStr">
        <is>
          <t>GT2 Open Belt LL-2GT-6 (9mm wide) - Length Dependant on Config</t>
        </is>
      </c>
      <c r="C32" s="14" t="n"/>
      <c r="D32" s="14" t="inlineStr">
        <is>
          <t>4</t>
        </is>
      </c>
      <c r="E32" s="14" t="inlineStr">
        <is>
          <t>All</t>
        </is>
      </c>
      <c r="F32" s="14" t="n"/>
      <c r="G32" s="14" t="n"/>
      <c r="H32" s="14" t="n"/>
      <c r="I32" s="14" t="n"/>
      <c r="J32" s="14" t="n"/>
      <c r="K32" s="14" t="n"/>
      <c r="L32" s="14" t="n"/>
      <c r="M32" s="14" t="n"/>
      <c r="N32" s="14" t="n"/>
      <c r="O32" s="14" t="n"/>
      <c r="P32" s="14" t="n"/>
      <c r="Q32" s="14" t="n"/>
      <c r="R32" s="18" t="inlineStr">
        <is>
          <t>all links were dead</t>
        </is>
      </c>
    </row>
    <row r="33">
      <c r="A33" s="14" t="inlineStr">
        <is>
          <t>Motion</t>
        </is>
      </c>
      <c r="B33" s="14" t="inlineStr">
        <is>
          <t>GT2 Belt Loop (6mm wide) - 188mm</t>
        </is>
      </c>
      <c r="C33" s="14" t="n"/>
      <c r="D33" s="14" t="inlineStr">
        <is>
          <t>4</t>
        </is>
      </c>
      <c r="E33" s="14" t="inlineStr">
        <is>
          <t>All</t>
        </is>
      </c>
      <c r="F33" s="15">
        <f>HYPERLINK("https://www.aliexpress.com/item/4000034021834.html","POWGE")</f>
        <v/>
      </c>
      <c r="G33" s="16">
        <f>HYPERLINK("https://s.click.aliexpress.com/e/ripvAfVQ","[Affiliate Link]")</f>
        <v/>
      </c>
      <c r="H33" s="16">
        <f>HYPERLINK("https://s.click.aliexpress.com/e/ripvAfVQ","AliExpress")</f>
        <v/>
      </c>
      <c r="I33" s="14" t="n"/>
      <c r="J33" s="14" t="n"/>
      <c r="K33" s="14" t="n"/>
      <c r="L33" s="14" t="n"/>
      <c r="M33" s="14" t="n"/>
      <c r="N33" s="14" t="n"/>
      <c r="O33" s="14" t="n"/>
      <c r="P33" s="14" t="n"/>
      <c r="Q33" s="14" t="n"/>
      <c r="R33" s="18" t="inlineStr">
        <is>
          <t>some links were dead</t>
        </is>
      </c>
    </row>
    <row r="34">
      <c r="A34" s="14" t="inlineStr">
        <is>
          <t>Motion</t>
        </is>
      </c>
      <c r="B34" s="14" t="inlineStr">
        <is>
          <t>GT2 Belt Loop (6mm wide) - 110mm</t>
        </is>
      </c>
      <c r="C34" s="14" t="n"/>
      <c r="D34" s="14" t="inlineStr">
        <is>
          <t>2</t>
        </is>
      </c>
      <c r="E34" s="14" t="inlineStr">
        <is>
          <t>All</t>
        </is>
      </c>
      <c r="F34" s="14" t="n"/>
      <c r="G34" s="14" t="n"/>
      <c r="H34" s="14" t="n"/>
      <c r="I34" s="14" t="n"/>
      <c r="J34" s="14" t="n"/>
      <c r="K34" s="14" t="n"/>
      <c r="L34" s="14" t="n"/>
      <c r="M34" s="14" t="n"/>
      <c r="N34" s="14" t="n"/>
      <c r="O34" s="14" t="n"/>
      <c r="P34" s="14" t="n"/>
      <c r="Q34" s="14" t="n"/>
      <c r="R34" s="18" t="inlineStr">
        <is>
          <t>all links were dead</t>
        </is>
      </c>
    </row>
    <row r="35">
      <c r="A35" s="14" t="inlineStr">
        <is>
          <t>Motion</t>
        </is>
      </c>
      <c r="B35" s="14" t="inlineStr">
        <is>
          <t>GT2 20T (6mm wide) Pulley (5mm bore)</t>
        </is>
      </c>
      <c r="C35" s="14" t="n"/>
      <c r="D35" s="14" t="inlineStr">
        <is>
          <t>13</t>
        </is>
      </c>
      <c r="E35" s="14" t="inlineStr">
        <is>
          <t>All</t>
        </is>
      </c>
      <c r="F35" s="15">
        <f>HYPERLINK("https://www.aliexpress.com/item/32226562320.html","POWGE")</f>
        <v/>
      </c>
      <c r="G35" s="16">
        <f>HYPERLINK("https://s.click.aliexpress.com/e/E1Y0mkUu","[Affiliate Link]")</f>
        <v/>
      </c>
      <c r="H35" s="16">
        <f>HYPERLINK("https://s.click.aliexpress.com/e/_AqN4lx","Aliexpress")</f>
        <v/>
      </c>
      <c r="I35" s="14" t="n"/>
      <c r="J35" s="16">
        <f>HYPERLINK("https://s.click.aliexpress.com/e/E1Y0mkUu","AliExpress")</f>
        <v/>
      </c>
      <c r="K35" s="14" t="n"/>
      <c r="L35" s="16">
        <f>HYPERLINK("https://s.click.aliexpress.com/e/_dYtoM9A","Aliexpress")</f>
        <v/>
      </c>
      <c r="M35" s="14" t="n"/>
      <c r="N35" s="14" t="n"/>
      <c r="O35" s="14" t="n"/>
      <c r="P35" s="14" t="n"/>
      <c r="Q35" s="14" t="n"/>
      <c r="R35" s="14" t="n"/>
    </row>
    <row r="36">
      <c r="A36" s="14" t="inlineStr">
        <is>
          <t>Motion</t>
        </is>
      </c>
      <c r="B36" s="14" t="inlineStr">
        <is>
          <t>GT2 20T (6mm wide) Pulley (5mm bore) - No Set Screw Hub</t>
        </is>
      </c>
      <c r="C36" s="14" t="n"/>
      <c r="D36" s="14" t="inlineStr">
        <is>
          <t>2</t>
        </is>
      </c>
      <c r="E36" s="14" t="inlineStr">
        <is>
          <t>All</t>
        </is>
      </c>
      <c r="F36" s="14" t="inlineStr">
        <is>
          <t>Build from 2x POWGE 20t 6mm Pulley</t>
        </is>
      </c>
      <c r="G36" s="14" t="n"/>
      <c r="H36" s="14" t="n"/>
      <c r="I36" s="14" t="n"/>
      <c r="J36" s="14" t="n"/>
      <c r="K36" s="14" t="n"/>
      <c r="L36" s="14" t="n"/>
      <c r="M36" s="14" t="n"/>
      <c r="N36" s="14" t="n"/>
      <c r="O36" s="14" t="n"/>
      <c r="P36" s="14" t="n"/>
      <c r="Q36" s="17" t="inlineStr">
        <is>
          <t>RD pulleys are incorrect size and are inconsistent in profile, use POWGE</t>
        </is>
      </c>
      <c r="R36" s="14" t="n"/>
    </row>
    <row r="37">
      <c r="A37" s="14" t="inlineStr">
        <is>
          <t>Motion</t>
        </is>
      </c>
      <c r="B37" s="14" t="inlineStr">
        <is>
          <t>GT2 16T (6mm wide) Pulley (5mm bore)</t>
        </is>
      </c>
      <c r="C37" s="14" t="n"/>
      <c r="D37" s="14" t="inlineStr">
        <is>
          <t>4</t>
        </is>
      </c>
      <c r="E37" s="14" t="inlineStr">
        <is>
          <t>All</t>
        </is>
      </c>
      <c r="F37" s="15">
        <f>HYPERLINK("https://www.aliexpress.com/item/1744808992.html","POWGE")</f>
        <v/>
      </c>
      <c r="G37" s="16">
        <f>HYPERLINK("https://s.click.aliexpress.com/e/eA5u8X6Y","[Affiliate Link]")</f>
        <v/>
      </c>
      <c r="H37" s="14" t="n"/>
      <c r="I37" s="14" t="n"/>
      <c r="J37" s="14" t="n"/>
      <c r="K37" s="14" t="n"/>
      <c r="L37" s="14" t="n"/>
      <c r="M37" s="14" t="n"/>
      <c r="N37" s="14" t="n"/>
      <c r="O37" s="14" t="n"/>
      <c r="P37" s="14" t="n"/>
      <c r="Q37" s="14" t="n"/>
      <c r="R37" s="14" t="n"/>
    </row>
    <row r="38">
      <c r="A38" s="14" t="inlineStr">
        <is>
          <t>Motion</t>
        </is>
      </c>
      <c r="B38" s="14" t="inlineStr">
        <is>
          <t>GT2 20T (9mm wide) Pulley (5mm bore)</t>
        </is>
      </c>
      <c r="C38" s="14" t="n"/>
      <c r="D38" s="14" t="inlineStr">
        <is>
          <t>8</t>
        </is>
      </c>
      <c r="E38" s="14" t="inlineStr">
        <is>
          <t>All</t>
        </is>
      </c>
      <c r="F38" s="15">
        <f>HYPERLINK("https://www.aliexpress.com/item/32650675929.html","POWGE")</f>
        <v/>
      </c>
      <c r="G38" s="16">
        <f>HYPERLINK("https://s.click.aliexpress.com/e/rsE0Y3Io","[Affiliate Link]")</f>
        <v/>
      </c>
      <c r="H38" s="14" t="n"/>
      <c r="I38" s="14" t="n"/>
      <c r="J38" s="14" t="n"/>
      <c r="K38" s="14" t="n"/>
      <c r="L38" s="14" t="n"/>
      <c r="M38" s="14" t="n"/>
      <c r="N38" s="14" t="n"/>
      <c r="O38" s="14" t="n"/>
      <c r="P38" s="14" t="n"/>
      <c r="Q38" s="14" t="n"/>
      <c r="R38" s="14" t="n"/>
    </row>
    <row r="39">
      <c r="A39" s="14" t="inlineStr">
        <is>
          <t>Motion</t>
        </is>
      </c>
      <c r="B39" s="14" t="inlineStr">
        <is>
          <t>F695 2RS Bearing</t>
        </is>
      </c>
      <c r="C39" s="14" t="n"/>
      <c r="D39" s="14" t="inlineStr">
        <is>
          <t>36</t>
        </is>
      </c>
      <c r="E39" s="14" t="inlineStr">
        <is>
          <t>All</t>
        </is>
      </c>
      <c r="F39" s="15">
        <f>HYPERLINK("https://www.aliexpress.com/item/33001186278.html","RainDew")</f>
        <v/>
      </c>
      <c r="G39" s="16">
        <f>HYPERLINK("https://s.click.aliexpress.com/e/FhQBXGmc","[Affiliate Link]")</f>
        <v/>
      </c>
      <c r="H39" s="16">
        <f>HYPERLINK("https://www.aliexpress.com/item/32850989216.html","Fushi")</f>
        <v/>
      </c>
      <c r="I39" s="16">
        <f>HYPERLINK("https://s.click.aliexpress.com/e/Mv4uHJoM","[Affiliate Link]")</f>
        <v/>
      </c>
      <c r="J39" s="16">
        <f>HYPERLINK("https://s.click.aliexpress.com/e/FhQBXGmc","AliExpress")</f>
        <v/>
      </c>
      <c r="K39" s="14" t="n"/>
      <c r="L39" s="14" t="n"/>
      <c r="M39" s="14" t="n"/>
      <c r="N39" s="14" t="n"/>
      <c r="O39" s="14" t="n"/>
      <c r="P39" s="14" t="n"/>
      <c r="Q39" s="14" t="n"/>
      <c r="R39" s="14" t="n"/>
    </row>
    <row r="40">
      <c r="A40" s="14" t="inlineStr">
        <is>
          <t>Motion</t>
        </is>
      </c>
      <c r="B40" s="14" t="inlineStr">
        <is>
          <t>625 2RS Bearing</t>
        </is>
      </c>
      <c r="C40" s="14" t="n"/>
      <c r="D40" s="14" t="inlineStr">
        <is>
          <t>16</t>
        </is>
      </c>
      <c r="E40" s="14" t="inlineStr">
        <is>
          <t>All</t>
        </is>
      </c>
      <c r="F40" s="15">
        <f>HYPERLINK("https://www.aliexpress.com/item/32991204773.html","RainDew")</f>
        <v/>
      </c>
      <c r="G40" s="16">
        <f>HYPERLINK("https://s.click.aliexpress.com/e/3slenRuM","[Affiliate Link]")</f>
        <v/>
      </c>
      <c r="H40" s="16">
        <f>HYPERLINK("https://www.aliexpress.com/item/32802288535.html","Fushi")</f>
        <v/>
      </c>
      <c r="I40" s="16">
        <f>HYPERLINK("https://s.click.aliexpress.com/e/nNRaugdw","[Affiliate Link]")</f>
        <v/>
      </c>
      <c r="J40" s="14" t="n"/>
      <c r="K40" s="14" t="n"/>
      <c r="L40" s="14" t="n"/>
      <c r="M40" s="14" t="n"/>
      <c r="N40" s="14" t="n"/>
      <c r="O40" s="14" t="n"/>
      <c r="P40" s="14" t="n"/>
      <c r="Q40" s="14" t="n"/>
      <c r="R40" s="14" t="n"/>
    </row>
    <row r="41">
      <c r="A41" s="14" t="inlineStr">
        <is>
          <t>Motion</t>
        </is>
      </c>
      <c r="B41" s="14" t="inlineStr">
        <is>
          <t>5x60mm Shaft - Grind Flat</t>
        </is>
      </c>
      <c r="C41" s="14" t="n"/>
      <c r="D41" s="14" t="inlineStr">
        <is>
          <t>4</t>
        </is>
      </c>
      <c r="E41" s="14" t="inlineStr">
        <is>
          <t>All</t>
        </is>
      </c>
      <c r="F41" s="15">
        <f>HYPERLINK("https://www.aliexpress.com/item/1739093502.html","linkcnc")</f>
        <v/>
      </c>
      <c r="G41" s="16">
        <f>HYPERLINK("https://s.click.aliexpress.com/e/LquJdTx2","[Affiliate Link]")</f>
        <v/>
      </c>
      <c r="H41" s="14" t="n"/>
      <c r="I41" s="14" t="n"/>
      <c r="J41" s="14" t="n"/>
      <c r="K41" s="14" t="n"/>
      <c r="L41" s="14" t="n"/>
      <c r="M41" s="14" t="n"/>
      <c r="N41" s="14" t="n"/>
      <c r="O41" s="14" t="n"/>
      <c r="P41" s="14" t="n"/>
      <c r="Q41" s="17" t="inlineStr">
        <is>
          <t>linkcnc will precut your shafts to specified lengths if you do not have cutting tools like a Dremel, you still need to make flats yourself</t>
        </is>
      </c>
      <c r="R41" s="14" t="n"/>
    </row>
    <row r="42">
      <c r="A42" s="14" t="inlineStr">
        <is>
          <t>Motion</t>
        </is>
      </c>
      <c r="B42" s="14" t="inlineStr">
        <is>
          <t>5x50mm Shaft - Grind Flat</t>
        </is>
      </c>
      <c r="C42" s="14" t="n"/>
      <c r="D42" s="14" t="inlineStr">
        <is>
          <t>2</t>
        </is>
      </c>
      <c r="E42" s="14" t="inlineStr">
        <is>
          <t>All</t>
        </is>
      </c>
      <c r="F42" s="15">
        <f>HYPERLINK("https://www.aliexpress.com/item/1739093502.html","linkcnc")</f>
        <v/>
      </c>
      <c r="G42" s="16">
        <f>HYPERLINK("https://s.click.aliexpress.com/e/LquJdTx2","[Affiliate Link]")</f>
        <v/>
      </c>
      <c r="H42" s="14" t="n"/>
      <c r="I42" s="14" t="n"/>
      <c r="J42" s="14" t="n"/>
      <c r="K42" s="14" t="n"/>
      <c r="L42" s="14" t="n"/>
      <c r="M42" s="14" t="n"/>
      <c r="N42" s="14" t="n"/>
      <c r="O42" s="14" t="n"/>
      <c r="P42" s="14" t="n"/>
      <c r="Q42" s="14" t="n"/>
      <c r="R42" s="14" t="n"/>
    </row>
    <row r="43">
      <c r="A43" s="14" t="inlineStr">
        <is>
          <t>Motion</t>
        </is>
      </c>
      <c r="B43" s="14" t="inlineStr">
        <is>
          <t>5x30mm Shaft</t>
        </is>
      </c>
      <c r="C43" s="14" t="n"/>
      <c r="D43" s="14" t="inlineStr">
        <is>
          <t>6</t>
        </is>
      </c>
      <c r="E43" s="14" t="inlineStr">
        <is>
          <t>All</t>
        </is>
      </c>
      <c r="F43" s="15">
        <f>HYPERLINK("https://www.aliexpress.com/item/1739093502.html","linkcnc")</f>
        <v/>
      </c>
      <c r="G43" s="16">
        <f>HYPERLINK("https://s.click.aliexpress.com/e/EKBTkxNm","[Affiliate Link]")</f>
        <v/>
      </c>
      <c r="H43" s="16">
        <f>HYPERLINK("https://www.aliexpress.com/item/32769265211.html","linkcnc")</f>
        <v/>
      </c>
      <c r="I43" s="16">
        <f>HYPERLINK("https://s.click.aliexpress.com/e/_A3ZXre","[Affiliate Link]")</f>
        <v/>
      </c>
      <c r="J43" s="14" t="n"/>
      <c r="K43" s="14" t="n"/>
      <c r="L43" s="14" t="n"/>
      <c r="M43" s="14" t="n"/>
      <c r="N43" s="14" t="n"/>
      <c r="O43" s="14" t="n"/>
      <c r="P43" s="14" t="n"/>
      <c r="Q43" s="14" t="n"/>
      <c r="R43" s="14" t="n"/>
    </row>
    <row r="44">
      <c r="A44" s="14" t="inlineStr">
        <is>
          <t>Motion</t>
        </is>
      </c>
      <c r="B44" s="14" t="inlineStr">
        <is>
          <t>5x28mm Shaft - (You can cut down a 30mm, Bed Height will change this)</t>
        </is>
      </c>
      <c r="C44" s="14" t="n"/>
      <c r="D44" s="14" t="inlineStr">
        <is>
          <t>1</t>
        </is>
      </c>
      <c r="E44" s="14" t="inlineStr">
        <is>
          <t>All</t>
        </is>
      </c>
      <c r="F44" s="15">
        <f>HYPERLINK("https://www.aliexpress.com/item/1739093502.html","linkcnc")</f>
        <v/>
      </c>
      <c r="G44" s="16">
        <f>HYPERLINK("https://s.click.aliexpress.com/e/EKBTkxNm","[Affiliate Link]")</f>
        <v/>
      </c>
      <c r="H44" s="14" t="n"/>
      <c r="I44" s="14" t="n"/>
      <c r="J44" s="14" t="n"/>
      <c r="K44" s="14" t="n"/>
      <c r="L44" s="14" t="n"/>
      <c r="M44" s="14" t="n"/>
      <c r="N44" s="14" t="n"/>
      <c r="O44" s="14" t="n"/>
      <c r="P44" s="14" t="n"/>
      <c r="Q44" s="14" t="n"/>
      <c r="R44" s="14" t="n"/>
    </row>
    <row r="45">
      <c r="A45" s="14" t="inlineStr">
        <is>
          <t>Motion</t>
        </is>
      </c>
      <c r="B45" s="14" t="inlineStr">
        <is>
          <t>5x26mm Shaft</t>
        </is>
      </c>
      <c r="C45" s="14" t="n"/>
      <c r="D45" s="14" t="inlineStr">
        <is>
          <t>2</t>
        </is>
      </c>
      <c r="E45" s="14" t="inlineStr">
        <is>
          <t>All</t>
        </is>
      </c>
      <c r="F45" s="15">
        <f>HYPERLINK("https://www.aliexpress.com/item/1739093502.html","linkcnc")</f>
        <v/>
      </c>
      <c r="G45" s="16">
        <f>HYPERLINK("https://s.click.aliexpress.com/e/sn5eoCiG","[Affiliate Link]")</f>
        <v/>
      </c>
      <c r="H45" s="14" t="n"/>
      <c r="I45" s="14" t="n"/>
      <c r="J45" s="14" t="n"/>
      <c r="K45" s="14" t="n"/>
      <c r="L45" s="14" t="n"/>
      <c r="M45" s="14" t="n"/>
      <c r="N45" s="14" t="n"/>
      <c r="O45" s="14" t="n"/>
      <c r="P45" s="14" t="n"/>
      <c r="Q45" s="14" t="n"/>
      <c r="R45" s="14" t="n"/>
    </row>
    <row r="46">
      <c r="A46" s="14" t="inlineStr">
        <is>
          <t>Motion</t>
        </is>
      </c>
      <c r="B46" s="14" t="inlineStr">
        <is>
          <t>Linear Rail MGN9H ** See Configurator for length **</t>
        </is>
      </c>
      <c r="C46" s="14" t="n"/>
      <c r="D46" s="14" t="inlineStr">
        <is>
          <t>7</t>
        </is>
      </c>
      <c r="E46" s="14" t="inlineStr">
        <is>
          <t>250</t>
        </is>
      </c>
      <c r="F46" s="15">
        <f>HYPERLINK("https://www.aliexpress.com/item/32773296501.html","CNA")</f>
        <v/>
      </c>
      <c r="G46" s="14" t="n"/>
      <c r="H46" s="16">
        <f>HYPERLINK("https://www.robotdigg.com/product/1314/Black-anodized-linear-rail-7,-9,-12-and-15","RobotDigg (Black Stainless Rails)")</f>
        <v/>
      </c>
      <c r="I46" s="14" t="n"/>
      <c r="J46" s="16">
        <f>HYPERLINK("https://www.zyltech.com/zyltech-mgn9-linear-rail-with-single-or-double-carriage-block","Zyltech")</f>
        <v/>
      </c>
      <c r="K46" s="14" t="n"/>
      <c r="L46" s="14" t="n"/>
      <c r="M46" s="14" t="n"/>
      <c r="N46" s="14" t="n"/>
      <c r="O46" s="14" t="n"/>
      <c r="P46" s="14" t="n"/>
      <c r="Q46" s="17" t="inlineStr">
        <is>
          <t>RobotDigg PN: GS_MGN9-1H-B300 / RobotDigg PN: GS_MGN9-1H-B350 / RobotDigg PN: GS_MGN9-1H-B400</t>
        </is>
      </c>
      <c r="R46" s="14" t="n"/>
    </row>
    <row r="47">
      <c r="A47" s="14" t="inlineStr">
        <is>
          <t>Motion</t>
        </is>
      </c>
      <c r="B47" s="14" t="inlineStr">
        <is>
          <t>Linear Rail MGN9H ** See Configurator for length **</t>
        </is>
      </c>
      <c r="C47" s="14" t="n"/>
      <c r="D47" s="14" t="inlineStr">
        <is>
          <t>7</t>
        </is>
      </c>
      <c r="E47" s="14" t="inlineStr">
        <is>
          <t>300</t>
        </is>
      </c>
      <c r="F47" s="15">
        <f>HYPERLINK("https://www.aliexpress.com/item/32773296501.html","CNA")</f>
        <v/>
      </c>
      <c r="G47" s="14" t="n"/>
      <c r="H47" s="16">
        <f>HYPERLINK("https://www.robotdigg.com/product/1314/Black-anodized-linear-rail-7,-9,-12-and-15","RobotDigg (Black Stainless Rails)")</f>
        <v/>
      </c>
      <c r="I47" s="14" t="n"/>
      <c r="J47" s="16">
        <f>HYPERLINK("https://www.zyltech.com/zyltech-mgn9-linear-rail-with-single-or-double-carriage-block","Zyltech")</f>
        <v/>
      </c>
      <c r="K47" s="14" t="n"/>
      <c r="L47" s="14" t="n"/>
      <c r="M47" s="14" t="n"/>
      <c r="N47" s="14" t="n"/>
      <c r="O47" s="14" t="n"/>
      <c r="P47" s="14" t="n"/>
      <c r="Q47" s="17" t="inlineStr">
        <is>
          <t>RobotDigg PN: GS_MGN9-1H-B300 / RobotDigg PN: GS_MGN9-1H-B350 / RobotDigg PN: GS_MGN9-1H-B400</t>
        </is>
      </c>
      <c r="R47" s="14" t="n"/>
    </row>
    <row r="48">
      <c r="A48" s="14" t="inlineStr">
        <is>
          <t>Motion</t>
        </is>
      </c>
      <c r="B48" s="14" t="inlineStr">
        <is>
          <t>Linear Rail MGN9H ** See Configurator for length **</t>
        </is>
      </c>
      <c r="C48" s="14" t="n"/>
      <c r="D48" s="14" t="inlineStr">
        <is>
          <t>7</t>
        </is>
      </c>
      <c r="E48" s="14" t="inlineStr">
        <is>
          <t>350</t>
        </is>
      </c>
      <c r="F48" s="15">
        <f>HYPERLINK("https://www.aliexpress.com/item/32773296501.html","CNA")</f>
        <v/>
      </c>
      <c r="G48" s="14" t="n"/>
      <c r="H48" s="16">
        <f>HYPERLINK("https://www.robotdigg.com/product/1314/Black-anodized-linear-rail-7,-9,-12-and-15","RobotDigg (Black Stainless Rails)")</f>
        <v/>
      </c>
      <c r="I48" s="14" t="n"/>
      <c r="J48" s="16">
        <f>HYPERLINK("https://www.zyltech.com/zyltech-mgn9-linear-rail-with-single-or-double-carriage-block","Zyltech")</f>
        <v/>
      </c>
      <c r="K48" s="14" t="n"/>
      <c r="L48" s="14" t="n"/>
      <c r="M48" s="14" t="n"/>
      <c r="N48" s="14" t="n"/>
      <c r="O48" s="14" t="n"/>
      <c r="P48" s="14" t="n"/>
      <c r="Q48" s="17" t="inlineStr">
        <is>
          <t>RobotDigg PN: GS_MGN9-1H-B300 / RobotDigg PN: GS_MGN9-1H-B350 / RobotDigg PN: GS_MGN9-1H-B400</t>
        </is>
      </c>
      <c r="R48" s="14" t="n"/>
    </row>
    <row r="49">
      <c r="A49" s="19" t="inlineStr">
        <is>
          <t>Vibration Management</t>
        </is>
      </c>
      <c r="B49" s="19" t="inlineStr">
        <is>
          <t>Astrosyn Dampener</t>
        </is>
      </c>
      <c r="C49" s="19" t="n"/>
      <c r="D49" s="19" t="inlineStr">
        <is>
          <t>2</t>
        </is>
      </c>
      <c r="E49" s="19" t="inlineStr">
        <is>
          <t>All</t>
        </is>
      </c>
      <c r="F49" s="20">
        <f>HYPERLINK("https://www.aliexpress.com/item/32797672879.html","linkcnc")</f>
        <v/>
      </c>
      <c r="G49" s="21">
        <f>HYPERLINK("https://s.click.aliexpress.com/e/my9o2pqC","[Affiliate Link]")</f>
        <v/>
      </c>
      <c r="H49" s="19" t="n"/>
      <c r="I49" s="19" t="n"/>
      <c r="J49" s="19" t="n"/>
      <c r="K49" s="19" t="n"/>
      <c r="L49" s="19" t="n"/>
      <c r="M49" s="19" t="n"/>
      <c r="N49" s="19" t="n"/>
      <c r="O49" s="19" t="n"/>
      <c r="P49" s="19" t="n"/>
      <c r="Q49" s="19" t="n"/>
      <c r="R49" s="19" t="n"/>
    </row>
    <row r="50">
      <c r="A50" s="19" t="inlineStr">
        <is>
          <t>Vibration Management</t>
        </is>
      </c>
      <c r="B50" s="19" t="inlineStr">
        <is>
          <t>Rubber Compressor Foot</t>
        </is>
      </c>
      <c r="C50" s="19" t="n"/>
      <c r="D50" s="19" t="inlineStr">
        <is>
          <t>4</t>
        </is>
      </c>
      <c r="E50" s="19" t="inlineStr">
        <is>
          <t>All</t>
        </is>
      </c>
      <c r="F50" s="20">
        <f>HYPERLINK("https://www.amazon.com/dp/B0711Y6T56","Amazon")</f>
        <v/>
      </c>
      <c r="G50" s="21">
        <f>HYPERLINK("https://amzn.to/2TqJkWS","[Affiliate Link]")</f>
        <v/>
      </c>
      <c r="H50" s="21">
        <f>HYPERLINK("https://www.aliexpress.com/item/32990144547.html","AliExpress")</f>
        <v/>
      </c>
      <c r="I50" s="21">
        <f>HYPERLINK("https://s.click.aliexpress.com/e/_d78yoQO","[Affiliate Link]")</f>
        <v/>
      </c>
      <c r="J50" s="19" t="n"/>
      <c r="K50" s="19" t="n"/>
      <c r="L50" s="19" t="n"/>
      <c r="M50" s="19" t="n"/>
      <c r="N50" s="19" t="n"/>
      <c r="O50" s="19" t="n"/>
      <c r="P50" s="19" t="n"/>
      <c r="Q50" s="22" t="inlineStr">
        <is>
          <t>Comes and goes in stock from Amazon</t>
        </is>
      </c>
      <c r="R50" s="19" t="n"/>
    </row>
    <row r="51">
      <c r="A51" s="24" t="inlineStr">
        <is>
          <t>Electronics</t>
        </is>
      </c>
      <c r="B51" s="24" t="inlineStr">
        <is>
          <t>Omron Mouse Button - Micro Switch</t>
        </is>
      </c>
      <c r="C51" s="24" t="n"/>
      <c r="D51" s="24" t="inlineStr">
        <is>
          <t>3</t>
        </is>
      </c>
      <c r="E51" s="24" t="inlineStr">
        <is>
          <t>All</t>
        </is>
      </c>
      <c r="F51" s="25">
        <f>HYPERLINK("https://www.digikey.com/product-detail/en/omron-electronics-inc-emc-div/D2F-5L/Z8846-ND/8593137","Digikey")</f>
        <v/>
      </c>
      <c r="G51" s="24" t="n"/>
      <c r="H51" s="26">
        <f>HYPERLINK("https://www.digikey.com/en/products/detail/omron-electronics-inc-emc-div/D2F-01L/83264","Digikey")</f>
        <v/>
      </c>
      <c r="I51" s="24" t="n"/>
      <c r="J51" s="26">
        <f>HYPERLINK("https://www.digikey.com/product-detail/en/omron-electronics-inc-emc-div/D2F-5/Z8845-ND/8593136","Digikey")</f>
        <v/>
      </c>
      <c r="K51" s="24" t="n"/>
      <c r="L51" s="24" t="n"/>
      <c r="M51" s="24" t="n"/>
      <c r="N51" s="24" t="n"/>
      <c r="O51" s="24" t="n"/>
      <c r="P51" s="24" t="n"/>
      <c r="Q51" s="24" t="n"/>
      <c r="R51" s="24" t="n"/>
    </row>
    <row r="52">
      <c r="A52" s="24" t="inlineStr">
        <is>
          <t>Electronics</t>
        </is>
      </c>
      <c r="B52" s="24" t="inlineStr">
        <is>
          <t>PL-08N Inductive Probe</t>
        </is>
      </c>
      <c r="C52" s="24" t="n"/>
      <c r="D52" s="24" t="inlineStr">
        <is>
          <t>1</t>
        </is>
      </c>
      <c r="E52" s="24" t="inlineStr">
        <is>
          <t>All</t>
        </is>
      </c>
      <c r="F52" s="24" t="n"/>
      <c r="G52" s="24" t="n"/>
      <c r="H52" s="24" t="n"/>
      <c r="I52" s="24" t="n"/>
      <c r="J52" s="24" t="n"/>
      <c r="K52" s="24" t="n"/>
      <c r="L52" s="24" t="n"/>
      <c r="M52" s="24" t="n"/>
      <c r="N52" s="24" t="n"/>
      <c r="O52" s="24" t="n"/>
      <c r="P52" s="24" t="n"/>
      <c r="Q52" s="24" t="n"/>
      <c r="R52" s="28" t="inlineStr">
        <is>
          <t>all links were dead</t>
        </is>
      </c>
    </row>
    <row r="53">
      <c r="A53" s="24" t="inlineStr">
        <is>
          <t>Electronics</t>
        </is>
      </c>
      <c r="B53" s="24" t="inlineStr">
        <is>
          <t>BAT85 Diode</t>
        </is>
      </c>
      <c r="C53" s="24" t="n"/>
      <c r="D53" s="24" t="inlineStr">
        <is>
          <t>1</t>
        </is>
      </c>
      <c r="E53" s="24" t="inlineStr">
        <is>
          <t>All</t>
        </is>
      </c>
      <c r="F53" s="25">
        <f>HYPERLINK("https://www.digikey.com/product-detail/en/BAT85S-TR/BAT85SCT-ND/3104371","DigiKey")</f>
        <v/>
      </c>
      <c r="G53" s="24" t="n"/>
      <c r="H53" s="24" t="n"/>
      <c r="I53" s="24" t="n"/>
      <c r="J53" s="24" t="n"/>
      <c r="K53" s="24" t="n"/>
      <c r="L53" s="24" t="n"/>
      <c r="M53" s="24" t="n"/>
      <c r="N53" s="24" t="n"/>
      <c r="O53" s="24" t="n"/>
      <c r="P53" s="24" t="n"/>
      <c r="Q53" s="27" t="inlineStr">
        <is>
          <t>You do not want to get this part from an Ali vendor as quality can be suspect. If these sources are not available in your area, please ask in a regional channel on Discord or search a local electronics store.</t>
        </is>
      </c>
      <c r="R53" s="24" t="n"/>
    </row>
    <row r="54">
      <c r="A54" s="24" t="inlineStr">
        <is>
          <t>Electronics</t>
        </is>
      </c>
      <c r="B54" s="24" t="inlineStr">
        <is>
          <t>Omron G3NA-210B-DC5 (10A) or Crydom D2425 (25A) or Crydom 84134000 (10A) SSR</t>
        </is>
      </c>
      <c r="C54" s="24" t="n"/>
      <c r="D54" s="24" t="inlineStr">
        <is>
          <t>1</t>
        </is>
      </c>
      <c r="E54" s="24" t="inlineStr">
        <is>
          <t>All</t>
        </is>
      </c>
      <c r="F54" s="25">
        <f>HYPERLINK("https://www.digikey.com/en/products/detail/omron-automation-and-safety/G3NA-210B-UTU-DC5-24/634443","Digikey (Omron)")</f>
        <v/>
      </c>
      <c r="G54" s="24" t="n"/>
      <c r="H54" s="26">
        <f>HYPERLINK("https://www.digikey.com/products/en","Digikey (Omron)")</f>
        <v/>
      </c>
      <c r="I54" s="24" t="n"/>
      <c r="J54" s="26">
        <f>HYPERLINK("https://www.digikey.com/en/products/detail/panasonic-electric-works/AQA211VL/2364682","Digikey (Panasonic)")</f>
        <v/>
      </c>
      <c r="K54" s="24" t="n"/>
      <c r="L54" s="26">
        <f>HYPERLINK("https://www.digikey.com/product-detail/en/sensata-crydom/D2425/CC1006-ND/139477","Digikey (Crydom 25A)")</f>
        <v/>
      </c>
      <c r="M54" s="24" t="n"/>
      <c r="N54" s="26">
        <f>HYPERLINK("https://www.digikey.com/product-detail/en/sensata-crydom/84134000/646-1227-ND/1816787","Digikey (Crydom 10A)")</f>
        <v/>
      </c>
      <c r="O54" s="24" t="n"/>
      <c r="P54" s="26">
        <f>HYPERLINK("https://www.filastruder.com/products/solid-state-relay?_pos=1&amp;_sid=f58b74679&amp;_ss=r","Filastruder (Panasonic)")</f>
        <v/>
      </c>
      <c r="Q54" s="27" t="inlineStr">
        <is>
          <t>Crydom (2nd Link, also valid alternative), UTU PN just adds TUV support as a certification to the relay (Omron Only)</t>
        </is>
      </c>
      <c r="R54" s="24" t="n"/>
    </row>
    <row r="55">
      <c r="A55" s="24" t="inlineStr">
        <is>
          <t>Electronics</t>
        </is>
      </c>
      <c r="B55" s="24" t="inlineStr">
        <is>
          <t>NEMA17 Motor 17HS19-2004S</t>
        </is>
      </c>
      <c r="C55" s="24" t="n"/>
      <c r="D55" s="24" t="inlineStr">
        <is>
          <t>6</t>
        </is>
      </c>
      <c r="E55" s="24" t="inlineStr">
        <is>
          <t>All</t>
        </is>
      </c>
      <c r="F55" s="25">
        <f>HYPERLINK("https://www.omc-stepperonline.com/nema-17-bipolar-59ncm-84oz-in-2a-42x48mm-4-wires-w-1m-cable-and-connector.html","Stepper Online")</f>
        <v/>
      </c>
      <c r="G55" s="24" t="n"/>
      <c r="H55" s="26">
        <f>HYPERLINK("https://www.omc-stepperonline.com/nema-17-bipolare-59ncm-84oz-in-2a-42x48mm-4fili-w-1m-cable-and-connector.html","Stepper Online")</f>
        <v/>
      </c>
      <c r="I55" s="24" t="n"/>
      <c r="J55" s="26">
        <f>HYPERLINK("https://www.aliexpress.com/item/32589488227.html","Stepper Online")</f>
        <v/>
      </c>
      <c r="K55" s="26">
        <f>HYPERLINK("https://s.click.aliexpress.com/e/5E5huNIu","[Affiliate Link]")</f>
        <v/>
      </c>
      <c r="L55" s="26">
        <f>HYPERLINK("https://www.amazon.com/dp/B00PNEQKC0","Amazon")</f>
        <v/>
      </c>
      <c r="M55" s="26">
        <f>HYPERLINK("https://amzn.to/325amWA","[Affiliate Link]")</f>
        <v/>
      </c>
      <c r="N55" s="26">
        <f>HYPERLINK("https://www.aliexpress.com/item/32572890101.html","Stepper Online")</f>
        <v/>
      </c>
      <c r="O55" s="26">
        <f>HYPERLINK("https://s.click.aliexpress.com/e/_9J8aJa","[Affiliate Link]")</f>
        <v/>
      </c>
      <c r="P55" s="26">
        <f>HYPERLINK("https://docs.ldomotors.com/en/voron/LDO_Voron_Distributors","LDO")</f>
        <v/>
      </c>
      <c r="Q55" s="27" t="inlineStr">
        <is>
          <t>Strongly advise buying the specific steppers to reduce the chance of underperformance</t>
        </is>
      </c>
      <c r="R55" s="24" t="n"/>
    </row>
    <row r="56">
      <c r="A56" s="24" t="inlineStr">
        <is>
          <t>Electronics</t>
        </is>
      </c>
      <c r="B56" s="24" t="inlineStr">
        <is>
          <t>Mean Well LRS-200-12 PSU</t>
        </is>
      </c>
      <c r="C56" s="24" t="n"/>
      <c r="D56" s="24" t="inlineStr">
        <is>
          <t>1</t>
        </is>
      </c>
      <c r="E56" s="24" t="inlineStr">
        <is>
          <t>All</t>
        </is>
      </c>
      <c r="F56" s="25">
        <f>HYPERLINK("https://www.digikey.com/products/en","Digikey")</f>
        <v/>
      </c>
      <c r="G56" s="24" t="n"/>
      <c r="H56" s="24" t="n"/>
      <c r="I56" s="24" t="n"/>
      <c r="J56" s="24" t="n"/>
      <c r="K56" s="24" t="n"/>
      <c r="L56" s="24" t="n"/>
      <c r="M56" s="24" t="n"/>
      <c r="N56" s="24" t="n"/>
      <c r="O56" s="24" t="n"/>
      <c r="P56" s="24" t="n"/>
      <c r="Q56" s="27" t="inlineStr">
        <is>
          <t>Do not cheap out on this. Get a legitmate MeanWell PSU. Higher wattage is not necessary since the bed is mains powered. Higher wattage also comes with a fan which adds to the noise.</t>
        </is>
      </c>
      <c r="R56" s="24" t="n"/>
    </row>
    <row r="57">
      <c r="A57" s="24" t="inlineStr">
        <is>
          <t>Electronics</t>
        </is>
      </c>
      <c r="B57" s="24" t="inlineStr">
        <is>
          <t>Meanwell RS-25-5 PSU</t>
        </is>
      </c>
      <c r="C57" s="24" t="n"/>
      <c r="D57" s="24" t="inlineStr">
        <is>
          <t>1</t>
        </is>
      </c>
      <c r="E57" s="24" t="inlineStr">
        <is>
          <t>All</t>
        </is>
      </c>
      <c r="F57" s="25">
        <f>HYPERLINK("https://www.digikey.com/product-detail/en/mean-well-usa-inc/RS-25-5/1866-4145-ND/7706180","Digikey")</f>
        <v/>
      </c>
      <c r="G57" s="24" t="n"/>
      <c r="H57" s="24" t="n"/>
      <c r="I57" s="24" t="n"/>
      <c r="J57" s="24" t="n"/>
      <c r="K57" s="24" t="n"/>
      <c r="L57" s="24" t="n"/>
      <c r="M57" s="24" t="n"/>
      <c r="N57" s="24" t="n"/>
      <c r="O57" s="24" t="n"/>
      <c r="P57" s="24" t="n"/>
      <c r="Q57" s="27" t="inlineStr">
        <is>
          <t>Do not cheap out on this. Get a legitmate MeanWell PSU.</t>
        </is>
      </c>
      <c r="R57" s="24" t="n"/>
    </row>
    <row r="58">
      <c r="A58" s="24" t="inlineStr">
        <is>
          <t>Electronics</t>
        </is>
      </c>
      <c r="B58" s="24" t="inlineStr">
        <is>
          <t>ZF - Rocker Switches DPST 16A ON-OFF</t>
        </is>
      </c>
      <c r="C58" s="24" t="n"/>
      <c r="D58" s="24" t="inlineStr">
        <is>
          <t>1</t>
        </is>
      </c>
      <c r="E58" s="24" t="inlineStr">
        <is>
          <t>All</t>
        </is>
      </c>
      <c r="F58" s="25">
        <f>HYPERLINK("https://www.digikey.com/products/en","Digikey (no Light)")</f>
        <v/>
      </c>
      <c r="G58" s="24" t="n"/>
      <c r="H58" s="26">
        <f>HYPERLINK("https://www.mouser.com/ProductDetail/ZF/WRG32F2BBRLN?qs=%2Fha2pyFadugTPgk3aI89ZNgIRYXUDJ2iew%252BR%252BPzJE%2FSagvnd6sid0w%3D%3D","Mouser (Red Light)")</f>
        <v/>
      </c>
      <c r="I58" s="24" t="n"/>
      <c r="J58" s="24" t="n"/>
      <c r="K58" s="24" t="n"/>
      <c r="L58" s="24" t="n"/>
      <c r="M58" s="24" t="n"/>
      <c r="N58" s="24" t="n"/>
      <c r="O58" s="24" t="n"/>
      <c r="P58" s="24" t="n"/>
      <c r="Q58" s="24" t="n"/>
      <c r="R58" s="24" t="n"/>
    </row>
    <row r="59">
      <c r="A59" s="24" t="inlineStr">
        <is>
          <t>Electronics</t>
        </is>
      </c>
      <c r="B59" s="24" t="inlineStr">
        <is>
          <t>Fuse Medium Time Delay Acting 8A 250V Holder Cartridge 5 X 20mm Glass</t>
        </is>
      </c>
      <c r="C59" s="24" t="n"/>
      <c r="D59" s="24" t="inlineStr">
        <is>
          <t>2</t>
        </is>
      </c>
      <c r="E59" s="24" t="inlineStr">
        <is>
          <t>All</t>
        </is>
      </c>
      <c r="F59" s="25">
        <f>HYPERLINK("https://www.digikey.com/products/en","Digikey")</f>
        <v/>
      </c>
      <c r="G59" s="24" t="n"/>
      <c r="H59" s="24" t="n"/>
      <c r="I59" s="24" t="n"/>
      <c r="J59" s="24" t="n"/>
      <c r="K59" s="24" t="n"/>
      <c r="L59" s="24" t="n"/>
      <c r="M59" s="24" t="n"/>
      <c r="N59" s="24" t="n"/>
      <c r="O59" s="24" t="n"/>
      <c r="P59" s="24" t="n"/>
      <c r="Q59" s="24" t="n"/>
      <c r="R59" s="24" t="n"/>
    </row>
    <row r="60">
      <c r="A60" s="24" t="inlineStr">
        <is>
          <t>Electronics</t>
        </is>
      </c>
      <c r="B60" s="24" t="inlineStr">
        <is>
          <t>TycoElectronics - 10EGG1-2 (Normal) or 10EHG1-2 (Medical): Filtered Power Inlet</t>
        </is>
      </c>
      <c r="C60" s="24" t="n"/>
      <c r="D60" s="24" t="inlineStr">
        <is>
          <t>1</t>
        </is>
      </c>
      <c r="E60" s="24" t="inlineStr">
        <is>
          <t>All</t>
        </is>
      </c>
      <c r="F60" s="25">
        <f>HYPERLINK("https://www.digikey.com/products/en","Digikey")</f>
        <v/>
      </c>
      <c r="G60" s="24" t="n"/>
      <c r="H60" s="26">
        <f>HYPERLINK("https://www.mouser.com/ProductDetail/TE-Connectivity-PB/10EGG1-2?qs=vcjNRp8H9z2nhEkRL4AXYw%3D%3D","Mouser")</f>
        <v/>
      </c>
      <c r="I60" s="24" t="n"/>
      <c r="J60" s="24" t="n"/>
      <c r="K60" s="24" t="n"/>
      <c r="L60" s="24" t="n"/>
      <c r="M60" s="24" t="n"/>
      <c r="N60" s="24" t="n"/>
      <c r="O60" s="24" t="n"/>
      <c r="P60" s="24" t="n"/>
      <c r="Q60" s="24" t="n"/>
      <c r="R60" s="24" t="n"/>
    </row>
    <row r="61">
      <c r="A61" s="24" t="inlineStr">
        <is>
          <t>Electronics</t>
        </is>
      </c>
      <c r="B61" s="24" t="inlineStr">
        <is>
          <t>C13 Power Cord</t>
        </is>
      </c>
      <c r="C61" s="24" t="n"/>
      <c r="D61" s="24" t="inlineStr">
        <is>
          <t>1</t>
        </is>
      </c>
      <c r="E61" s="24" t="inlineStr">
        <is>
          <t>All</t>
        </is>
      </c>
      <c r="F61" s="25">
        <f>HYPERLINK("https://www.amazon.com/dp/B072LNKHBB","Amazon")</f>
        <v/>
      </c>
      <c r="G61" s="24" t="n"/>
      <c r="H61" s="24" t="n"/>
      <c r="I61" s="24" t="n"/>
      <c r="J61" s="24" t="n"/>
      <c r="K61" s="24" t="n"/>
      <c r="L61" s="24" t="n"/>
      <c r="M61" s="24" t="n"/>
      <c r="N61" s="24" t="n"/>
      <c r="O61" s="24" t="n"/>
      <c r="P61" s="24" t="n"/>
      <c r="Q61" s="24" t="n"/>
      <c r="R61" s="24" t="n"/>
    </row>
    <row r="62">
      <c r="A62" s="9" t="inlineStr">
        <is>
          <t>Hotend</t>
        </is>
      </c>
      <c r="B62" s="9" t="inlineStr">
        <is>
          <t>E3D V6 Bowden Hotend Kit (12V)</t>
        </is>
      </c>
      <c r="C62" s="9" t="n"/>
      <c r="D62" s="9" t="inlineStr">
        <is>
          <t>1</t>
        </is>
      </c>
      <c r="E62" s="9" t="inlineStr">
        <is>
          <t>All</t>
        </is>
      </c>
      <c r="F62" s="10">
        <f>HYPERLINK("https://www.aliexpress.com/item/32844028127.html","Trianglelab")</f>
        <v/>
      </c>
      <c r="G62" s="11">
        <f>HYPERLINK("https://s.click.aliexpress.com/e/NJsPnaGs","[Affiliate Link]")</f>
        <v/>
      </c>
      <c r="H62" s="11">
        <f>HYPERLINK("https://www.filastruder.com/products/all-metal-e3d-v6-hotend","Filastruder")</f>
        <v/>
      </c>
      <c r="I62" s="9" t="n"/>
      <c r="J62" s="9" t="n"/>
      <c r="K62" s="9" t="n"/>
      <c r="L62" s="9" t="n"/>
      <c r="M62" s="9" t="n"/>
      <c r="N62" s="9" t="n"/>
      <c r="O62" s="9" t="n"/>
      <c r="P62" s="9" t="n"/>
      <c r="Q62" s="13" t="inlineStr">
        <is>
          <t>Trianglelab sells inexpensive clones of the E3D v6 assembly that is as good, if not better, than the original part. There is no reason to buy the "legit" part here unless you don't like money. Purchase the all metal option. PTFE lined will break down at ABS temps.</t>
        </is>
      </c>
      <c r="R62" s="9" t="n"/>
    </row>
    <row r="63">
      <c r="A63" s="24" t="inlineStr">
        <is>
          <t>Electronics</t>
        </is>
      </c>
      <c r="B63" s="24" t="inlineStr">
        <is>
          <t>40x40x20 Axial Fan (12V)</t>
        </is>
      </c>
      <c r="C63" s="24" t="n"/>
      <c r="D63" s="24" t="inlineStr">
        <is>
          <t>1</t>
        </is>
      </c>
      <c r="E63" s="24" t="inlineStr">
        <is>
          <t>All</t>
        </is>
      </c>
      <c r="F63" s="25">
        <f>HYPERLINK("https://www.digikey.com/product-detail/en/delta-electronics/EFB0412HD/603-1009-ND/1014340","Digikey (12v)")</f>
        <v/>
      </c>
      <c r="G63" s="24" t="n"/>
      <c r="H63" s="26">
        <f>HYPERLINK("https://www.digikey.com/product-detail/en/delta-electronics/EFB0412HD-F00/603-1396-ND/2560520","Digikey (12v)")</f>
        <v/>
      </c>
      <c r="I63" s="24" t="n"/>
      <c r="J63" s="26">
        <f>HYPERLINK("https://www.digikey.com/products/en","Digikey (24v)")</f>
        <v/>
      </c>
      <c r="K63" s="24" t="n"/>
      <c r="L63" s="24" t="n"/>
      <c r="M63" s="24" t="n"/>
      <c r="N63" s="24" t="n"/>
      <c r="O63" s="24" t="n"/>
      <c r="P63" s="24" t="n"/>
      <c r="Q63" s="27" t="inlineStr">
        <is>
          <t>Delta or Sunon are preferred brands</t>
        </is>
      </c>
      <c r="R63" s="24" t="n"/>
    </row>
    <row r="64">
      <c r="A64" s="24" t="inlineStr">
        <is>
          <t>Electronics</t>
        </is>
      </c>
      <c r="B64" s="24" t="inlineStr">
        <is>
          <t>40x40x10 Centrifugal Blower Fan (12V)</t>
        </is>
      </c>
      <c r="C64" s="24" t="n"/>
      <c r="D64" s="24" t="inlineStr">
        <is>
          <t>2</t>
        </is>
      </c>
      <c r="E64" s="24" t="inlineStr">
        <is>
          <t>All</t>
        </is>
      </c>
      <c r="F64" s="25">
        <f>HYPERLINK("https://www.digikey.com/product-detail/en/delta-electronics/BFB0412HHA-A117/603-1840-ND/5022816","Digikey")</f>
        <v/>
      </c>
      <c r="G64" s="24" t="n"/>
      <c r="H64" s="26">
        <f>HYPERLINK("https://www.aliexpress.com/item/32798634077.html","AliExpress")</f>
        <v/>
      </c>
      <c r="I64" s="26">
        <f>HYPERLINK("https://s.click.aliexpress.com/e/NwIXaHhO","[Affiliate Link]")</f>
        <v/>
      </c>
      <c r="J64" s="24" t="n"/>
      <c r="K64" s="24" t="n"/>
      <c r="L64" s="24" t="n"/>
      <c r="M64" s="24" t="n"/>
      <c r="N64" s="24" t="n"/>
      <c r="O64" s="24" t="n"/>
      <c r="P64" s="24" t="n"/>
      <c r="Q64" s="27" t="inlineStr">
        <is>
          <t>Delta is the preferred brand, cut the tach wire off on the 12v fan (its the only easily sourcable one)</t>
        </is>
      </c>
      <c r="R64" s="24" t="n"/>
    </row>
    <row r="65">
      <c r="A65" s="24" t="inlineStr">
        <is>
          <t>Electronics</t>
        </is>
      </c>
      <c r="B65" s="24" t="inlineStr">
        <is>
          <t>120x120x15 Fan (12V) (Rear can use 120x120x25 Fan)</t>
        </is>
      </c>
      <c r="C65" s="24" t="n"/>
      <c r="D65" s="24" t="inlineStr">
        <is>
          <t>2</t>
        </is>
      </c>
      <c r="E65" s="24" t="inlineStr">
        <is>
          <t>All</t>
        </is>
      </c>
      <c r="F65" s="24" t="n"/>
      <c r="G65" s="24" t="n"/>
      <c r="H65" s="24" t="n"/>
      <c r="I65" s="24" t="n"/>
      <c r="J65" s="24" t="n"/>
      <c r="K65" s="24" t="n"/>
      <c r="L65" s="24" t="n"/>
      <c r="M65" s="24" t="n"/>
      <c r="N65" s="24" t="n"/>
      <c r="O65" s="24" t="n"/>
      <c r="P65" s="24" t="n"/>
      <c r="Q65" s="24" t="n"/>
      <c r="R65" s="28" t="inlineStr">
        <is>
          <t>all links were dead</t>
        </is>
      </c>
    </row>
    <row r="66">
      <c r="A66" s="24" t="inlineStr">
        <is>
          <t>Electronics</t>
        </is>
      </c>
      <c r="B66" s="24" t="inlineStr">
        <is>
          <t>Thermal Fuse</t>
        </is>
      </c>
      <c r="C66" s="24" t="n"/>
      <c r="D66" s="24" t="inlineStr">
        <is>
          <t>1</t>
        </is>
      </c>
      <c r="E66" s="24" t="inlineStr">
        <is>
          <t>All</t>
        </is>
      </c>
      <c r="F66" s="24" t="n"/>
      <c r="G66" s="24" t="n"/>
      <c r="H66" s="24" t="n"/>
      <c r="I66" s="24" t="n"/>
      <c r="J66" s="24" t="n"/>
      <c r="K66" s="24" t="n"/>
      <c r="L66" s="24" t="n"/>
      <c r="M66" s="24" t="n"/>
      <c r="N66" s="24" t="n"/>
      <c r="O66" s="24" t="n"/>
      <c r="P66" s="24" t="n"/>
      <c r="Q66" s="27" t="inlineStr">
        <is>
          <t>Buy a 115C-125C thermal cutoff, you want the fuse to blow before the heater falls off the bed</t>
        </is>
      </c>
      <c r="R66" s="28" t="inlineStr">
        <is>
          <t>all links were dead</t>
        </is>
      </c>
    </row>
    <row r="67">
      <c r="A67" s="5" t="inlineStr">
        <is>
          <t>Controller</t>
        </is>
      </c>
      <c r="B67" s="5" t="inlineStr">
        <is>
          <t>RaspberryPi3 B+</t>
        </is>
      </c>
      <c r="C67" s="5" t="n"/>
      <c r="D67" s="5" t="inlineStr">
        <is>
          <t>1</t>
        </is>
      </c>
      <c r="E67" s="5" t="inlineStr">
        <is>
          <t>All</t>
        </is>
      </c>
      <c r="F67" s="6">
        <f>HYPERLINK("https://www.arrow.com/en/products/raspberrypi3b/raspberry-pi-foundation","Arrow")</f>
        <v/>
      </c>
      <c r="G67" s="5" t="n"/>
      <c r="H67" s="5" t="n"/>
      <c r="I67" s="5" t="n"/>
      <c r="J67" s="5" t="n"/>
      <c r="K67" s="5" t="n"/>
      <c r="L67" s="5" t="n"/>
      <c r="M67" s="5" t="n"/>
      <c r="N67" s="5" t="n"/>
      <c r="O67" s="5" t="n"/>
      <c r="P67" s="5" t="n"/>
      <c r="Q67" s="5" t="n"/>
      <c r="R67" s="5" t="n"/>
    </row>
    <row r="68">
      <c r="A68" s="5" t="inlineStr">
        <is>
          <t>Controller</t>
        </is>
      </c>
      <c r="B68" s="5" t="inlineStr">
        <is>
          <t>MicroSD Card</t>
        </is>
      </c>
      <c r="C68" s="5" t="n"/>
      <c r="D68" s="5" t="inlineStr">
        <is>
          <t>1</t>
        </is>
      </c>
      <c r="E68" s="5" t="inlineStr">
        <is>
          <t>All</t>
        </is>
      </c>
      <c r="F68" s="6">
        <f>HYPERLINK("https://www.amazon.com/dp/B073JYVKNX","Amazon (64gb)")</f>
        <v/>
      </c>
      <c r="G68" s="5" t="n"/>
      <c r="H68" s="7">
        <f>HYPERLINK("https://www.amazon.com/dp/B0749KG1JK","Amazon (32gb)")</f>
        <v/>
      </c>
      <c r="I68" s="5" t="n"/>
      <c r="J68" s="7">
        <f>HYPERLINK("https://amzn.to/2PDYXWX","Amazon")</f>
        <v/>
      </c>
      <c r="K68" s="5" t="n"/>
      <c r="L68" s="5" t="n"/>
      <c r="M68" s="5" t="n"/>
      <c r="N68" s="5" t="n"/>
      <c r="O68" s="5" t="n"/>
      <c r="P68" s="5" t="n"/>
      <c r="Q68" s="5" t="n"/>
      <c r="R68" s="5" t="n"/>
    </row>
    <row r="69">
      <c r="A69" s="5" t="inlineStr">
        <is>
          <t>Controller</t>
        </is>
      </c>
      <c r="B69" s="5" t="inlineStr">
        <is>
          <t>Micro USB Power Cable</t>
        </is>
      </c>
      <c r="C69" s="5" t="n"/>
      <c r="D69" s="5" t="inlineStr">
        <is>
          <t>1</t>
        </is>
      </c>
      <c r="E69" s="5" t="inlineStr">
        <is>
          <t>All</t>
        </is>
      </c>
      <c r="F69" s="5" t="n"/>
      <c r="G69" s="5" t="n"/>
      <c r="H69" s="5" t="n"/>
      <c r="I69" s="5" t="n"/>
      <c r="J69" s="5" t="n"/>
      <c r="K69" s="5" t="n"/>
      <c r="L69" s="5" t="n"/>
      <c r="M69" s="5" t="n"/>
      <c r="N69" s="5" t="n"/>
      <c r="O69" s="5" t="n"/>
      <c r="P69" s="5" t="n"/>
      <c r="Q69" s="8" t="inlineStr">
        <is>
          <t>to get power from the RS-25-5 to the Pi, you can use a spare from around the house</t>
        </is>
      </c>
      <c r="R69" s="29" t="inlineStr">
        <is>
          <t>all links were dead</t>
        </is>
      </c>
    </row>
    <row r="70">
      <c r="A70" s="5" t="inlineStr">
        <is>
          <t>Controller</t>
        </is>
      </c>
      <c r="B70" s="5" t="inlineStr">
        <is>
          <t>Arduino Mega 2560</t>
        </is>
      </c>
      <c r="C70" s="5" t="n"/>
      <c r="D70" s="5" t="inlineStr">
        <is>
          <t>2</t>
        </is>
      </c>
      <c r="E70" s="5" t="inlineStr">
        <is>
          <t>All</t>
        </is>
      </c>
      <c r="F70" s="5" t="n"/>
      <c r="G70" s="5" t="n"/>
      <c r="H70" s="5" t="n"/>
      <c r="I70" s="5" t="n"/>
      <c r="J70" s="5" t="n"/>
      <c r="K70" s="5" t="n"/>
      <c r="L70" s="5" t="n"/>
      <c r="M70" s="5" t="n"/>
      <c r="N70" s="5" t="n"/>
      <c r="O70" s="5" t="n"/>
      <c r="P70" s="5" t="n"/>
      <c r="Q70" s="8" t="inlineStr">
        <is>
          <t>Get the kit from Zyltec with all 3 items (arduino, ramps, drivers)</t>
        </is>
      </c>
      <c r="R70" s="29" t="inlineStr">
        <is>
          <t>all links were dead</t>
        </is>
      </c>
    </row>
    <row r="71">
      <c r="A71" s="5" t="inlineStr">
        <is>
          <t>Controller</t>
        </is>
      </c>
      <c r="B71" s="5" t="inlineStr">
        <is>
          <t>RAMPs 1.4</t>
        </is>
      </c>
      <c r="C71" s="5" t="n"/>
      <c r="D71" s="5" t="inlineStr">
        <is>
          <t>2</t>
        </is>
      </c>
      <c r="E71" s="5" t="inlineStr">
        <is>
          <t>All</t>
        </is>
      </c>
      <c r="F71" s="5" t="n"/>
      <c r="G71" s="5" t="n"/>
      <c r="H71" s="5" t="n"/>
      <c r="I71" s="5" t="n"/>
      <c r="J71" s="5" t="n"/>
      <c r="K71" s="5" t="n"/>
      <c r="L71" s="5" t="n"/>
      <c r="M71" s="5" t="n"/>
      <c r="N71" s="5" t="n"/>
      <c r="O71" s="5" t="n"/>
      <c r="P71" s="5" t="n"/>
      <c r="Q71" s="8" t="inlineStr">
        <is>
          <t>Get the kit from Zyltec with all 3 items (arduino, ramps, drivers)</t>
        </is>
      </c>
      <c r="R71" s="5" t="n"/>
    </row>
    <row r="72">
      <c r="A72" s="5" t="inlineStr">
        <is>
          <t>Controller</t>
        </is>
      </c>
      <c r="B72" s="5" t="inlineStr">
        <is>
          <t>A4988 Stepper Motor Driver</t>
        </is>
      </c>
      <c r="C72" s="5" t="n"/>
      <c r="D72" s="5" t="inlineStr">
        <is>
          <t>7</t>
        </is>
      </c>
      <c r="E72" s="5" t="inlineStr">
        <is>
          <t>All</t>
        </is>
      </c>
      <c r="F72" s="5" t="n"/>
      <c r="G72" s="5" t="n"/>
      <c r="H72" s="5" t="n"/>
      <c r="I72" s="5" t="n"/>
      <c r="J72" s="5" t="n"/>
      <c r="K72" s="5" t="n"/>
      <c r="L72" s="5" t="n"/>
      <c r="M72" s="5" t="n"/>
      <c r="N72" s="5" t="n"/>
      <c r="O72" s="5" t="n"/>
      <c r="P72" s="5" t="n"/>
      <c r="Q72" s="8" t="inlineStr">
        <is>
          <t>Get the kit from Zyltec with all 3 items (arduino, ramps, drivers)</t>
        </is>
      </c>
      <c r="R72" s="29" t="inlineStr">
        <is>
          <t>all links were dead</t>
        </is>
      </c>
    </row>
    <row r="73">
      <c r="A73" s="5" t="inlineStr">
        <is>
          <t>Controller</t>
        </is>
      </c>
      <c r="B73" s="5" t="inlineStr">
        <is>
          <t>USB Cable A-male B-male</t>
        </is>
      </c>
      <c r="C73" s="5" t="n"/>
      <c r="D73" s="5" t="inlineStr">
        <is>
          <t>2</t>
        </is>
      </c>
      <c r="E73" s="5" t="inlineStr">
        <is>
          <t>All</t>
        </is>
      </c>
      <c r="F73" s="5" t="n"/>
      <c r="G73" s="5" t="n"/>
      <c r="H73" s="5" t="n"/>
      <c r="I73" s="5" t="n"/>
      <c r="J73" s="5" t="n"/>
      <c r="K73" s="5" t="n"/>
      <c r="L73" s="5" t="n"/>
      <c r="M73" s="5" t="n"/>
      <c r="N73" s="5" t="n"/>
      <c r="O73" s="5" t="n"/>
      <c r="P73" s="5" t="n"/>
      <c r="Q73" s="8" t="inlineStr">
        <is>
          <t>Most RAMPs/MEGA kits come with a cable so this part is likely unnecessary as a separate purchase. Double check your purchase history.</t>
        </is>
      </c>
      <c r="R73" s="5" t="n"/>
    </row>
    <row r="74">
      <c r="A74" s="5" t="inlineStr">
        <is>
          <t>Controller</t>
        </is>
      </c>
      <c r="B74" s="5" t="inlineStr">
        <is>
          <t>RepRap Full Graphics Display</t>
        </is>
      </c>
      <c r="C74" s="5" t="n"/>
      <c r="D74" s="5" t="inlineStr">
        <is>
          <t>1</t>
        </is>
      </c>
      <c r="E74" s="5" t="inlineStr">
        <is>
          <t>All</t>
        </is>
      </c>
      <c r="F74" s="6">
        <f>HYPERLINK("https://www.zyltech.com/genuine-zyltech-ramps-1-4-3d-printer-12864-lcd-smart-controller","Zyltech")</f>
        <v/>
      </c>
      <c r="G74" s="5" t="n"/>
      <c r="H74" s="5" t="n"/>
      <c r="I74" s="5" t="n"/>
      <c r="J74" s="5" t="n"/>
      <c r="K74" s="5" t="n"/>
      <c r="L74" s="5" t="n"/>
      <c r="M74" s="5" t="n"/>
      <c r="N74" s="5" t="n"/>
      <c r="O74" s="5" t="n"/>
      <c r="P74" s="5" t="n"/>
      <c r="Q74" s="5" t="n"/>
      <c r="R74" s="29" t="inlineStr">
        <is>
          <t>some links were dead</t>
        </is>
      </c>
    </row>
    <row r="75">
      <c r="A75" s="30" t="inlineStr">
        <is>
          <t>Frame</t>
        </is>
      </c>
      <c r="B75" s="30" t="inlineStr">
        <is>
          <t>OpenBuilds Angle Corner Connector</t>
        </is>
      </c>
      <c r="C75" s="30" t="n"/>
      <c r="D75" s="30" t="inlineStr">
        <is>
          <t>4</t>
        </is>
      </c>
      <c r="E75" s="30" t="inlineStr">
        <is>
          <t>All</t>
        </is>
      </c>
      <c r="F75" s="30" t="n"/>
      <c r="G75" s="30" t="n"/>
      <c r="H75" s="30" t="n"/>
      <c r="I75" s="30" t="n"/>
      <c r="J75" s="30" t="n"/>
      <c r="K75" s="30" t="n"/>
      <c r="L75" s="30" t="n"/>
      <c r="M75" s="30" t="n"/>
      <c r="N75" s="30" t="n"/>
      <c r="O75" s="30" t="n"/>
      <c r="P75" s="30" t="n"/>
      <c r="Q75" s="30" t="n"/>
      <c r="R75" s="31" t="inlineStr">
        <is>
          <t>all links were dead</t>
        </is>
      </c>
    </row>
    <row r="76">
      <c r="A76" s="30" t="inlineStr">
        <is>
          <t>Frame</t>
        </is>
      </c>
      <c r="B76" s="30" t="inlineStr">
        <is>
          <t>Misumi HFSB5-2020 (Size depends - use configurator)</t>
        </is>
      </c>
      <c r="C76" s="30" t="n"/>
      <c r="D76" s="30" t="inlineStr">
        <is>
          <t>17</t>
        </is>
      </c>
      <c r="E76" s="30" t="inlineStr">
        <is>
          <t>250</t>
        </is>
      </c>
      <c r="F76" s="32">
        <f>HYPERLINK("https://us.misumi-ec.com/vona2/detail/110302683830?Inch=0","Misumi")</f>
        <v/>
      </c>
      <c r="G76" s="30" t="n"/>
      <c r="H76" s="33">
        <f>HYPERLINK("https://docs.ldomotors.com/en/voron/LDO_Voron_Distributors","LDO")</f>
        <v/>
      </c>
      <c r="I76" s="30" t="n"/>
      <c r="J76" s="30" t="n"/>
      <c r="K76" s="30" t="n"/>
      <c r="L76" s="30" t="n"/>
      <c r="M76" s="30" t="n"/>
      <c r="N76" s="30" t="n"/>
      <c r="O76" s="30" t="n"/>
      <c r="P76" s="30" t="n"/>
      <c r="Q76" s="30" t="n"/>
      <c r="R76" s="30" t="n"/>
    </row>
    <row r="77">
      <c r="A77" s="30" t="inlineStr">
        <is>
          <t>Frame</t>
        </is>
      </c>
      <c r="B77" s="30" t="inlineStr">
        <is>
          <t>Misumi HFSB5-2020 (Size depends - use configurator)</t>
        </is>
      </c>
      <c r="C77" s="30" t="n"/>
      <c r="D77" s="30" t="inlineStr">
        <is>
          <t>17</t>
        </is>
      </c>
      <c r="E77" s="30" t="inlineStr">
        <is>
          <t>300</t>
        </is>
      </c>
      <c r="F77" s="32">
        <f>HYPERLINK("https://us.misumi-ec.com/vona2/detail/110302683830?Inch=0","Misumi")</f>
        <v/>
      </c>
      <c r="G77" s="30" t="n"/>
      <c r="H77" s="33">
        <f>HYPERLINK("https://docs.ldomotors.com/en/voron/LDO_Voron_Distributors","LDO")</f>
        <v/>
      </c>
      <c r="I77" s="30" t="n"/>
      <c r="J77" s="30" t="n"/>
      <c r="K77" s="30" t="n"/>
      <c r="L77" s="30" t="n"/>
      <c r="M77" s="30" t="n"/>
      <c r="N77" s="30" t="n"/>
      <c r="O77" s="30" t="n"/>
      <c r="P77" s="30" t="n"/>
      <c r="Q77" s="30" t="n"/>
      <c r="R77" s="30" t="n"/>
    </row>
    <row r="78">
      <c r="A78" s="30" t="inlineStr">
        <is>
          <t>Frame</t>
        </is>
      </c>
      <c r="B78" s="30" t="inlineStr">
        <is>
          <t>Misumi HFSB5-2020 (Size depends - use configurator)</t>
        </is>
      </c>
      <c r="C78" s="30" t="n"/>
      <c r="D78" s="30" t="inlineStr">
        <is>
          <t>17</t>
        </is>
      </c>
      <c r="E78" s="30" t="inlineStr">
        <is>
          <t>350</t>
        </is>
      </c>
      <c r="F78" s="32">
        <f>HYPERLINK("https://us.misumi-ec.com/vona2/detail/110302683830?Inch=0","Misumi")</f>
        <v/>
      </c>
      <c r="G78" s="30" t="n"/>
      <c r="H78" s="33">
        <f>HYPERLINK("https://docs.ldomotors.com/en/voron/LDO_Voron_Distributors","LDO")</f>
        <v/>
      </c>
      <c r="I78" s="30" t="n"/>
      <c r="J78" s="30" t="n"/>
      <c r="K78" s="30" t="n"/>
      <c r="L78" s="30" t="n"/>
      <c r="M78" s="30" t="n"/>
      <c r="N78" s="30" t="n"/>
      <c r="O78" s="30" t="n"/>
      <c r="P78" s="30" t="n"/>
      <c r="Q78" s="30" t="n"/>
      <c r="R78" s="30" t="n"/>
    </row>
    <row r="79">
      <c r="A79" s="35" t="inlineStr">
        <is>
          <t>Misc</t>
        </is>
      </c>
      <c r="B79" s="35" t="inlineStr">
        <is>
          <t>Bowden Tube</t>
        </is>
      </c>
      <c r="C79" s="35" t="n"/>
      <c r="D79" s="35" t="inlineStr">
        <is>
          <t>3m</t>
        </is>
      </c>
      <c r="E79" s="35" t="inlineStr">
        <is>
          <t>All</t>
        </is>
      </c>
      <c r="F79" s="36">
        <f>HYPERLINK("https://www.aliexpress.com/item/1005001408141263.html","Aliexpress")</f>
        <v/>
      </c>
      <c r="G79" s="39">
        <f>HYPERLINK("https://s.click.aliexpress.com/e/_AZwI9m","[Affiliate Link]")</f>
        <v/>
      </c>
      <c r="H79" s="35" t="n"/>
      <c r="I79" s="35" t="n"/>
      <c r="J79" s="35" t="n"/>
      <c r="K79" s="35" t="n"/>
      <c r="L79" s="35" t="n"/>
      <c r="M79" s="35" t="n"/>
      <c r="N79" s="35" t="n"/>
      <c r="O79" s="35" t="n"/>
      <c r="P79" s="35" t="n"/>
      <c r="Q79" s="37" t="inlineStr">
        <is>
          <t>4mm OD, 2mm ID, get 10m of the first supplier, its cheap and is a wear item</t>
        </is>
      </c>
      <c r="R79" s="38" t="inlineStr">
        <is>
          <t>all links were dead</t>
        </is>
      </c>
    </row>
    <row r="80">
      <c r="A80" s="40" t="inlineStr">
        <is>
          <t>Cables</t>
        </is>
      </c>
      <c r="B80" s="40" t="inlineStr">
        <is>
          <t>Fork Spade Terminal</t>
        </is>
      </c>
      <c r="C80" s="40" t="n"/>
      <c r="D80" s="40" t="inlineStr">
        <is>
          <t>15</t>
        </is>
      </c>
      <c r="E80" s="40" t="inlineStr">
        <is>
          <t>All</t>
        </is>
      </c>
      <c r="F80" s="41">
        <f>HYPERLINK("https://www.digikey.com/products/en","Digikey")</f>
        <v/>
      </c>
      <c r="G80" s="40" t="n"/>
      <c r="H80" s="40" t="n"/>
      <c r="I80" s="40" t="n"/>
      <c r="J80" s="40" t="n"/>
      <c r="K80" s="40" t="n"/>
      <c r="L80" s="40" t="n"/>
      <c r="M80" s="40" t="n"/>
      <c r="N80" s="40" t="n"/>
      <c r="O80" s="40" t="n"/>
      <c r="P80" s="40" t="n"/>
      <c r="Q80" s="42" t="inlineStr">
        <is>
          <t>for power supply and SSR</t>
        </is>
      </c>
      <c r="R80" s="40" t="n"/>
    </row>
    <row r="81">
      <c r="A81" s="40" t="inlineStr">
        <is>
          <t>Cables</t>
        </is>
      </c>
      <c r="B81" s="40" t="inlineStr">
        <is>
          <t>Insulated Crimp Receptical</t>
        </is>
      </c>
      <c r="C81" s="40" t="n"/>
      <c r="D81" s="40" t="inlineStr">
        <is>
          <t>10</t>
        </is>
      </c>
      <c r="E81" s="40" t="inlineStr">
        <is>
          <t>All</t>
        </is>
      </c>
      <c r="F81" s="41">
        <f>HYPERLINK("https://www.digikey.com/products/en","Digikey")</f>
        <v/>
      </c>
      <c r="G81" s="40" t="n"/>
      <c r="H81" s="43">
        <f>HYPERLINK("https://www.digikey.com/product-detail/en/te-connectivity-amp-connectors/2-520181-2/A27804TR-ND/289246","Digikey")</f>
        <v/>
      </c>
      <c r="I81" s="40" t="n"/>
      <c r="J81" s="40" t="n"/>
      <c r="K81" s="40" t="n"/>
      <c r="L81" s="40" t="n"/>
      <c r="M81" s="40" t="n"/>
      <c r="N81" s="40" t="n"/>
      <c r="O81" s="40" t="n"/>
      <c r="P81" s="40" t="n"/>
      <c r="Q81" s="42" t="inlineStr">
        <is>
          <t>for Power Inlet (6.35mm)</t>
        </is>
      </c>
      <c r="R81" s="40" t="n"/>
    </row>
    <row r="82">
      <c r="A82" s="40" t="inlineStr">
        <is>
          <t>Cables</t>
        </is>
      </c>
      <c r="B82" s="40" t="inlineStr">
        <is>
          <t>Nylon Cable Ties 4"</t>
        </is>
      </c>
      <c r="C82" s="40" t="n"/>
      <c r="D82" s="40" t="inlineStr">
        <is>
          <t>100</t>
        </is>
      </c>
      <c r="E82" s="40" t="inlineStr">
        <is>
          <t>All</t>
        </is>
      </c>
      <c r="F82" s="41">
        <f>HYPERLINK("https://amzn.to/2mzoRjl","Amazon")</f>
        <v/>
      </c>
      <c r="G82" s="40" t="n"/>
      <c r="H82" s="40" t="n"/>
      <c r="I82" s="40" t="n"/>
      <c r="J82" s="40" t="n"/>
      <c r="K82" s="40" t="n"/>
      <c r="L82" s="40" t="n"/>
      <c r="M82" s="40" t="n"/>
      <c r="N82" s="40" t="n"/>
      <c r="O82" s="40" t="n"/>
      <c r="P82" s="40" t="n"/>
      <c r="Q82" s="40" t="n"/>
      <c r="R82" s="44" t="inlineStr">
        <is>
          <t>all links were dead</t>
        </is>
      </c>
    </row>
    <row r="83">
      <c r="A83" s="40" t="inlineStr">
        <is>
          <t>Cables</t>
        </is>
      </c>
      <c r="B83" s="40" t="inlineStr">
        <is>
          <t>MicroFit3 Male Pin (43031-0007)</t>
        </is>
      </c>
      <c r="C83" s="40" t="n"/>
      <c r="D83" s="40" t="inlineStr">
        <is>
          <t>40</t>
        </is>
      </c>
      <c r="E83" s="40" t="inlineStr">
        <is>
          <t>All</t>
        </is>
      </c>
      <c r="F83" s="41">
        <f>HYPERLINK("https://www.digikey.com/products/en","Digikey")</f>
        <v/>
      </c>
      <c r="G83" s="40" t="n"/>
      <c r="H83" s="40" t="n"/>
      <c r="I83" s="40" t="n"/>
      <c r="J83" s="40" t="n"/>
      <c r="K83" s="40" t="n"/>
      <c r="L83" s="40" t="n"/>
      <c r="M83" s="40" t="n"/>
      <c r="N83" s="40" t="n"/>
      <c r="O83" s="40" t="n"/>
      <c r="P83" s="40" t="n"/>
      <c r="Q83" s="42" t="inlineStr">
        <is>
          <t>This is a good starter kit that has plenty of pins and all of the required connectors. The kit comes with individual part numbers to source individual pieces later if required.</t>
        </is>
      </c>
      <c r="R83" s="40" t="n"/>
    </row>
    <row r="84">
      <c r="A84" s="40" t="inlineStr">
        <is>
          <t>Cables</t>
        </is>
      </c>
      <c r="B84" s="40" t="inlineStr">
        <is>
          <t>MicroFit3 Female Pin (43030-0007)</t>
        </is>
      </c>
      <c r="C84" s="40" t="n"/>
      <c r="D84" s="40" t="inlineStr">
        <is>
          <t>40</t>
        </is>
      </c>
      <c r="E84" s="40" t="inlineStr">
        <is>
          <t>All</t>
        </is>
      </c>
      <c r="F84" s="41">
        <f>HYPERLINK("https://www.digikey.com/products/en","Digikey")</f>
        <v/>
      </c>
      <c r="G84" s="40" t="n"/>
      <c r="H84" s="40" t="n"/>
      <c r="I84" s="40" t="n"/>
      <c r="J84" s="40" t="n"/>
      <c r="K84" s="40" t="n"/>
      <c r="L84" s="40" t="n"/>
      <c r="M84" s="40" t="n"/>
      <c r="N84" s="40" t="n"/>
      <c r="O84" s="40" t="n"/>
      <c r="P84" s="40" t="n"/>
      <c r="Q84" s="40" t="n"/>
      <c r="R84" s="40" t="n"/>
    </row>
    <row r="85">
      <c r="A85" s="40" t="inlineStr">
        <is>
          <t>Cables</t>
        </is>
      </c>
      <c r="B85" s="40" t="inlineStr">
        <is>
          <t>MicroFit Connector Receptacle 4 Position (43645-0400)</t>
        </is>
      </c>
      <c r="C85" s="40" t="n"/>
      <c r="D85" s="40" t="inlineStr">
        <is>
          <t>4</t>
        </is>
      </c>
      <c r="E85" s="40" t="inlineStr">
        <is>
          <t>All</t>
        </is>
      </c>
      <c r="F85" s="41">
        <f>HYPERLINK("https://www.digikey.com/products/en","Digikey")</f>
        <v/>
      </c>
      <c r="G85" s="40" t="n"/>
      <c r="H85" s="40" t="n"/>
      <c r="I85" s="40" t="n"/>
      <c r="J85" s="40" t="n"/>
      <c r="K85" s="40" t="n"/>
      <c r="L85" s="40" t="n"/>
      <c r="M85" s="40" t="n"/>
      <c r="N85" s="40" t="n"/>
      <c r="O85" s="40" t="n"/>
      <c r="P85" s="40" t="n"/>
      <c r="Q85" s="40" t="n"/>
      <c r="R85" s="40" t="n"/>
    </row>
    <row r="86">
      <c r="A86" s="40" t="inlineStr">
        <is>
          <t>Cables</t>
        </is>
      </c>
      <c r="B86" s="40" t="inlineStr">
        <is>
          <t>MicroFit Connector Receptacle 3 Position (43645-0300)</t>
        </is>
      </c>
      <c r="C86" s="40" t="n"/>
      <c r="D86" s="40" t="inlineStr">
        <is>
          <t>1</t>
        </is>
      </c>
      <c r="E86" s="40" t="inlineStr">
        <is>
          <t>All</t>
        </is>
      </c>
      <c r="F86" s="41">
        <f>HYPERLINK("https://www.digikey.com/products/en","Digikey")</f>
        <v/>
      </c>
      <c r="G86" s="40" t="n"/>
      <c r="H86" s="40" t="n"/>
      <c r="I86" s="40" t="n"/>
      <c r="J86" s="40" t="n"/>
      <c r="K86" s="40" t="n"/>
      <c r="L86" s="40" t="n"/>
      <c r="M86" s="40" t="n"/>
      <c r="N86" s="40" t="n"/>
      <c r="O86" s="40" t="n"/>
      <c r="P86" s="40" t="n"/>
      <c r="Q86" s="40" t="n"/>
      <c r="R86" s="40" t="n"/>
    </row>
    <row r="87">
      <c r="A87" s="40" t="inlineStr">
        <is>
          <t>Cables</t>
        </is>
      </c>
      <c r="B87" s="40" t="inlineStr">
        <is>
          <t>MicroFit Connector Receptacle 2 Position (43645-0200)</t>
        </is>
      </c>
      <c r="C87" s="40" t="n"/>
      <c r="D87" s="40" t="inlineStr">
        <is>
          <t>6</t>
        </is>
      </c>
      <c r="E87" s="40" t="inlineStr">
        <is>
          <t>All</t>
        </is>
      </c>
      <c r="F87" s="41">
        <f>HYPERLINK("https://www.digikey.com/products/en","Digikey")</f>
        <v/>
      </c>
      <c r="G87" s="40" t="n"/>
      <c r="H87" s="40" t="n"/>
      <c r="I87" s="40" t="n"/>
      <c r="J87" s="40" t="n"/>
      <c r="K87" s="40" t="n"/>
      <c r="L87" s="40" t="n"/>
      <c r="M87" s="40" t="n"/>
      <c r="N87" s="40" t="n"/>
      <c r="O87" s="40" t="n"/>
      <c r="P87" s="40" t="n"/>
      <c r="Q87" s="40" t="n"/>
      <c r="R87" s="40" t="n"/>
    </row>
    <row r="88">
      <c r="A88" s="40" t="inlineStr">
        <is>
          <t>Cables</t>
        </is>
      </c>
      <c r="B88" s="40" t="inlineStr">
        <is>
          <t>MicroFit Connector Plug 4 Position (43640-0401)</t>
        </is>
      </c>
      <c r="C88" s="40" t="n"/>
      <c r="D88" s="40" t="inlineStr">
        <is>
          <t>4</t>
        </is>
      </c>
      <c r="E88" s="40" t="inlineStr">
        <is>
          <t>All</t>
        </is>
      </c>
      <c r="F88" s="41">
        <f>HYPERLINK("https://www.digikey.com/products/en","Digikey")</f>
        <v/>
      </c>
      <c r="G88" s="40" t="n"/>
      <c r="H88" s="40" t="n"/>
      <c r="I88" s="40" t="n"/>
      <c r="J88" s="40" t="n"/>
      <c r="K88" s="40" t="n"/>
      <c r="L88" s="40" t="n"/>
      <c r="M88" s="40" t="n"/>
      <c r="N88" s="40" t="n"/>
      <c r="O88" s="40" t="n"/>
      <c r="P88" s="40" t="n"/>
      <c r="Q88" s="40" t="n"/>
      <c r="R88" s="40" t="n"/>
    </row>
    <row r="89">
      <c r="A89" s="40" t="inlineStr">
        <is>
          <t>Cables</t>
        </is>
      </c>
      <c r="B89" s="40" t="inlineStr">
        <is>
          <t>MicroFit Connector Plug 3 Position (43640-0301)</t>
        </is>
      </c>
      <c r="C89" s="40" t="n"/>
      <c r="D89" s="40" t="inlineStr">
        <is>
          <t>1</t>
        </is>
      </c>
      <c r="E89" s="40" t="inlineStr">
        <is>
          <t>All</t>
        </is>
      </c>
      <c r="F89" s="41">
        <f>HYPERLINK("https://www.digikey.com/products/en","Digikey")</f>
        <v/>
      </c>
      <c r="G89" s="40" t="n"/>
      <c r="H89" s="40" t="n"/>
      <c r="I89" s="40" t="n"/>
      <c r="J89" s="40" t="n"/>
      <c r="K89" s="40" t="n"/>
      <c r="L89" s="40" t="n"/>
      <c r="M89" s="40" t="n"/>
      <c r="N89" s="40" t="n"/>
      <c r="O89" s="40" t="n"/>
      <c r="P89" s="40" t="n"/>
      <c r="Q89" s="40" t="n"/>
      <c r="R89" s="40" t="n"/>
    </row>
    <row r="90">
      <c r="A90" s="40" t="inlineStr">
        <is>
          <t>Cables</t>
        </is>
      </c>
      <c r="B90" s="40" t="inlineStr">
        <is>
          <t>MicroFit Connector Plug 2 Position (43640-0201)</t>
        </is>
      </c>
      <c r="C90" s="40" t="n"/>
      <c r="D90" s="40" t="inlineStr">
        <is>
          <t>6</t>
        </is>
      </c>
      <c r="E90" s="40" t="inlineStr">
        <is>
          <t>All</t>
        </is>
      </c>
      <c r="F90" s="41">
        <f>HYPERLINK("https://www.digikey.com/products/en","Digikey")</f>
        <v/>
      </c>
      <c r="G90" s="40" t="n"/>
      <c r="H90" s="40" t="n"/>
      <c r="I90" s="40" t="n"/>
      <c r="J90" s="40" t="n"/>
      <c r="K90" s="40" t="n"/>
      <c r="L90" s="40" t="n"/>
      <c r="M90" s="40" t="n"/>
      <c r="N90" s="40" t="n"/>
      <c r="O90" s="40" t="n"/>
      <c r="P90" s="40" t="n"/>
      <c r="Q90" s="40" t="n"/>
      <c r="R90" s="40" t="n"/>
    </row>
    <row r="91">
      <c r="A91" s="40" t="inlineStr">
        <is>
          <t>Cables</t>
        </is>
      </c>
      <c r="B91" s="40" t="inlineStr">
        <is>
          <t>MLX Power Receptacle 3 Position (50-84-2030)</t>
        </is>
      </c>
      <c r="C91" s="40" t="n"/>
      <c r="D91" s="40" t="inlineStr">
        <is>
          <t>1</t>
        </is>
      </c>
      <c r="E91" s="40" t="inlineStr">
        <is>
          <t>All</t>
        </is>
      </c>
      <c r="F91" s="41">
        <f>HYPERLINK("https://www.digikey.com/products/en","Digikey")</f>
        <v/>
      </c>
      <c r="G91" s="40" t="n"/>
      <c r="H91" s="40" t="n"/>
      <c r="I91" s="40" t="n"/>
      <c r="J91" s="40" t="n"/>
      <c r="K91" s="40" t="n"/>
      <c r="L91" s="40" t="n"/>
      <c r="M91" s="40" t="n"/>
      <c r="N91" s="40" t="n"/>
      <c r="O91" s="40" t="n"/>
      <c r="P91" s="40" t="n"/>
      <c r="Q91" s="42" t="inlineStr">
        <is>
          <t>For Bed (Line, Neutral and Ground)</t>
        </is>
      </c>
      <c r="R91" s="40" t="n"/>
    </row>
    <row r="92">
      <c r="A92" s="40" t="inlineStr">
        <is>
          <t>Cables</t>
        </is>
      </c>
      <c r="B92" s="40" t="inlineStr">
        <is>
          <t>MLX Power Plug 3 Position (50-84-1030)</t>
        </is>
      </c>
      <c r="C92" s="40" t="n"/>
      <c r="D92" s="40" t="inlineStr">
        <is>
          <t>1</t>
        </is>
      </c>
      <c r="E92" s="40" t="inlineStr">
        <is>
          <t>All</t>
        </is>
      </c>
      <c r="F92" s="41">
        <f>HYPERLINK("https://www.digikey.com/products/en","Digikey")</f>
        <v/>
      </c>
      <c r="G92" s="40" t="n"/>
      <c r="H92" s="40" t="n"/>
      <c r="I92" s="40" t="n"/>
      <c r="J92" s="40" t="n"/>
      <c r="K92" s="40" t="n"/>
      <c r="L92" s="40" t="n"/>
      <c r="M92" s="40" t="n"/>
      <c r="N92" s="40" t="n"/>
      <c r="O92" s="40" t="n"/>
      <c r="P92" s="40" t="n"/>
      <c r="Q92" s="40" t="n"/>
      <c r="R92" s="40" t="n"/>
    </row>
    <row r="93">
      <c r="A93" s="40" t="inlineStr">
        <is>
          <t>Cables</t>
        </is>
      </c>
      <c r="B93" s="40" t="inlineStr">
        <is>
          <t>MLX Male Pin (02-08-2004)</t>
        </is>
      </c>
      <c r="C93" s="40" t="n"/>
      <c r="D93" s="40" t="inlineStr">
        <is>
          <t>6</t>
        </is>
      </c>
      <c r="E93" s="40" t="inlineStr">
        <is>
          <t>All</t>
        </is>
      </c>
      <c r="F93" s="41">
        <f>HYPERLINK("https://www.digikey.com/products/en","Digikey")</f>
        <v/>
      </c>
      <c r="G93" s="40" t="n"/>
      <c r="H93" s="40" t="n"/>
      <c r="I93" s="40" t="n"/>
      <c r="J93" s="40" t="n"/>
      <c r="K93" s="40" t="n"/>
      <c r="L93" s="40" t="n"/>
      <c r="M93" s="40" t="n"/>
      <c r="N93" s="40" t="n"/>
      <c r="O93" s="40" t="n"/>
      <c r="P93" s="40" t="n"/>
      <c r="Q93" s="40" t="n"/>
      <c r="R93" s="40" t="n"/>
    </row>
    <row r="94">
      <c r="A94" s="40" t="inlineStr">
        <is>
          <t>Cables</t>
        </is>
      </c>
      <c r="B94" s="40" t="inlineStr">
        <is>
          <t>MLX Female Pin (02-08-1002)</t>
        </is>
      </c>
      <c r="C94" s="40" t="n"/>
      <c r="D94" s="40" t="inlineStr">
        <is>
          <t>6</t>
        </is>
      </c>
      <c r="E94" s="40" t="inlineStr">
        <is>
          <t>All</t>
        </is>
      </c>
      <c r="F94" s="41">
        <f>HYPERLINK("https://www.digikey.com/products/en","Digikey")</f>
        <v/>
      </c>
      <c r="G94" s="40" t="n"/>
      <c r="H94" s="40" t="n"/>
      <c r="I94" s="40" t="n"/>
      <c r="J94" s="40" t="n"/>
      <c r="K94" s="40" t="n"/>
      <c r="L94" s="40" t="n"/>
      <c r="M94" s="40" t="n"/>
      <c r="N94" s="40" t="n"/>
      <c r="O94" s="40" t="n"/>
      <c r="P94" s="40" t="n"/>
      <c r="Q94" s="40" t="n"/>
      <c r="R94" s="40" t="n"/>
    </row>
    <row r="95">
      <c r="A95" s="40" t="inlineStr">
        <is>
          <t>Cables</t>
        </is>
      </c>
      <c r="B95" s="40" t="inlineStr">
        <is>
          <t>Dupont Female Pin</t>
        </is>
      </c>
      <c r="C95" s="40" t="n"/>
      <c r="D95" s="40" t="inlineStr">
        <is>
          <t>40</t>
        </is>
      </c>
      <c r="E95" s="40" t="inlineStr">
        <is>
          <t>All</t>
        </is>
      </c>
      <c r="F95" s="41">
        <f>HYPERLINK("https://www.digikey.com/product-detail/en/amphenol-icc-fci/47649-000LF/609-3614-1-ND/2044035","Digikey")</f>
        <v/>
      </c>
      <c r="G95" s="40" t="n"/>
      <c r="H95" s="43">
        <f>HYPERLINK("https://www.amazon.com/dp/B01G0I0ZZK","Amazon")</f>
        <v/>
      </c>
      <c r="I95" s="43">
        <f>HYPERLINK("https://amzn.to/2l5ZXY8","[Affiliate Link]")</f>
        <v/>
      </c>
      <c r="J95" s="40" t="n"/>
      <c r="K95" s="40" t="n"/>
      <c r="L95" s="40" t="n"/>
      <c r="M95" s="40" t="n"/>
      <c r="N95" s="40" t="n"/>
      <c r="O95" s="40" t="n"/>
      <c r="P95" s="40" t="n"/>
      <c r="Q95" s="42" t="inlineStr">
        <is>
          <t>for RAMPs boards only, see optional parts for other controllers</t>
        </is>
      </c>
      <c r="R95" s="40" t="n"/>
    </row>
    <row r="96">
      <c r="A96" s="40" t="inlineStr">
        <is>
          <t>Cables</t>
        </is>
      </c>
      <c r="B96" s="40" t="inlineStr">
        <is>
          <t>DuPont Connector Plug 4 Position</t>
        </is>
      </c>
      <c r="C96" s="40" t="n"/>
      <c r="D96" s="40" t="inlineStr">
        <is>
          <t>4</t>
        </is>
      </c>
      <c r="E96" s="40" t="inlineStr">
        <is>
          <t>All</t>
        </is>
      </c>
      <c r="F96" s="41">
        <f>HYPERLINK("https://www.digikey.com/product-detail/en/amphenol-icc-fci/65039-033ELF/609-5481-ND/4272532","Digikey")</f>
        <v/>
      </c>
      <c r="G96" s="40" t="n"/>
      <c r="H96" s="40" t="n"/>
      <c r="I96" s="40" t="n"/>
      <c r="J96" s="40" t="n"/>
      <c r="K96" s="40" t="n"/>
      <c r="L96" s="40" t="n"/>
      <c r="M96" s="40" t="n"/>
      <c r="N96" s="40" t="n"/>
      <c r="O96" s="40" t="n"/>
      <c r="P96" s="40" t="n"/>
      <c r="Q96" s="40" t="n"/>
      <c r="R96" s="40" t="n"/>
    </row>
    <row r="97">
      <c r="A97" s="40" t="inlineStr">
        <is>
          <t>Cables</t>
        </is>
      </c>
      <c r="B97" s="40" t="inlineStr">
        <is>
          <t>DuPont Connector Plug 3 Position</t>
        </is>
      </c>
      <c r="C97" s="40" t="n"/>
      <c r="D97" s="40" t="inlineStr">
        <is>
          <t>4</t>
        </is>
      </c>
      <c r="E97" s="40" t="inlineStr">
        <is>
          <t>All</t>
        </is>
      </c>
      <c r="F97" s="41">
        <f>HYPERLINK("https://www.digikey.com/product-detail/en/amphenol-icc-fci/65039-034ELF/609-5482-ND/4272533","Digikey")</f>
        <v/>
      </c>
      <c r="G97" s="40" t="n"/>
      <c r="H97" s="40" t="n"/>
      <c r="I97" s="40" t="n"/>
      <c r="J97" s="40" t="n"/>
      <c r="K97" s="40" t="n"/>
      <c r="L97" s="40" t="n"/>
      <c r="M97" s="40" t="n"/>
      <c r="N97" s="40" t="n"/>
      <c r="O97" s="40" t="n"/>
      <c r="P97" s="40" t="n"/>
      <c r="Q97" s="40" t="n"/>
      <c r="R97" s="40" t="n"/>
    </row>
    <row r="98">
      <c r="A98" s="40" t="inlineStr">
        <is>
          <t>Cables</t>
        </is>
      </c>
      <c r="B98" s="40" t="inlineStr">
        <is>
          <t>DuPont Connector Plug 2 Position</t>
        </is>
      </c>
      <c r="C98" s="40" t="n"/>
      <c r="D98" s="40" t="inlineStr">
        <is>
          <t>4</t>
        </is>
      </c>
      <c r="E98" s="40" t="inlineStr">
        <is>
          <t>All</t>
        </is>
      </c>
      <c r="F98" s="41">
        <f>HYPERLINK("https://www.digikey.com/product-detail/en/amphenol-icc-fci/65039-035ELF/609-5483-ND/4272534","Digikey")</f>
        <v/>
      </c>
      <c r="G98" s="40" t="n"/>
      <c r="H98" s="40" t="n"/>
      <c r="I98" s="40" t="n"/>
      <c r="J98" s="40" t="n"/>
      <c r="K98" s="40" t="n"/>
      <c r="L98" s="40" t="n"/>
      <c r="M98" s="40" t="n"/>
      <c r="N98" s="40" t="n"/>
      <c r="O98" s="40" t="n"/>
      <c r="P98" s="40" t="n"/>
      <c r="Q98" s="40" t="n"/>
      <c r="R98" s="40" t="n"/>
    </row>
    <row r="99">
      <c r="A99" s="40" t="inlineStr">
        <is>
          <t>Cables</t>
        </is>
      </c>
      <c r="B99" s="40" t="inlineStr">
        <is>
          <t>24AWG Silicone Cable (120ft total)</t>
        </is>
      </c>
      <c r="C99" s="40" t="n"/>
      <c r="D99" s="40" t="inlineStr">
        <is>
          <t>1</t>
        </is>
      </c>
      <c r="E99" s="40" t="inlineStr">
        <is>
          <t>All</t>
        </is>
      </c>
      <c r="F99" s="41">
        <f>HYPERLINK("https://www.aliexpress.com/item/32872395185.html","Striveday")</f>
        <v/>
      </c>
      <c r="G99" s="43">
        <f>HYPERLINK("https://s.click.aliexpress.com/e/kzE6vJLi","[Affiliate Link]")</f>
        <v/>
      </c>
      <c r="H99" s="43">
        <f>HYPERLINK("https://www.amazon.com/dp/B01LH1G2IE","Striveday")</f>
        <v/>
      </c>
      <c r="I99" s="40" t="n"/>
      <c r="J99" s="40" t="n"/>
      <c r="K99" s="40" t="n"/>
      <c r="L99" s="40" t="n"/>
      <c r="M99" s="40" t="n"/>
      <c r="N99" s="40" t="n"/>
      <c r="O99" s="40" t="n"/>
      <c r="P99" s="40" t="n"/>
      <c r="Q99" s="42" t="inlineStr">
        <is>
          <t>Since Lian has 4-6 conductor ribbon cable in a few difference sizes, makes wiring a bit easier through the cable chains</t>
        </is>
      </c>
      <c r="R99" s="44" t="inlineStr">
        <is>
          <t>some links were dead</t>
        </is>
      </c>
    </row>
    <row r="100">
      <c r="A100" s="40" t="inlineStr">
        <is>
          <t>Cables</t>
        </is>
      </c>
      <c r="B100" s="40" t="inlineStr">
        <is>
          <t>20AWG Silicone Cable (50ft total)</t>
        </is>
      </c>
      <c r="C100" s="40" t="n"/>
      <c r="D100" s="40" t="inlineStr">
        <is>
          <t>1</t>
        </is>
      </c>
      <c r="E100" s="40" t="inlineStr">
        <is>
          <t>All</t>
        </is>
      </c>
      <c r="F100" s="40" t="n"/>
      <c r="G100" s="40" t="n"/>
      <c r="H100" s="40" t="n"/>
      <c r="I100" s="40" t="n"/>
      <c r="J100" s="40" t="n"/>
      <c r="K100" s="40" t="n"/>
      <c r="L100" s="40" t="n"/>
      <c r="M100" s="40" t="n"/>
      <c r="N100" s="40" t="n"/>
      <c r="O100" s="40" t="n"/>
      <c r="P100" s="40" t="n"/>
      <c r="Q100" s="40" t="n"/>
      <c r="R100" s="44" t="inlineStr">
        <is>
          <t>all links were dead</t>
        </is>
      </c>
    </row>
    <row r="101">
      <c r="A101" s="45" t="inlineStr">
        <is>
          <t>Panels</t>
        </is>
      </c>
      <c r="B101" s="45" t="inlineStr">
        <is>
          <t>Bottom/Back/Electronics Bay Panels</t>
        </is>
      </c>
      <c r="C101" s="45" t="n"/>
      <c r="D101" s="45" t="inlineStr">
        <is>
          <t>3</t>
        </is>
      </c>
      <c r="E101" s="45" t="inlineStr">
        <is>
          <t>All</t>
        </is>
      </c>
      <c r="F101" s="46">
        <f>HYPERLINK("https://www.michaels.com/corrugated-board-by-creatology/M10567770.html","Michaels Craft Store (Coroplast)")</f>
        <v/>
      </c>
      <c r="G101" s="45" t="n"/>
      <c r="H101" s="47">
        <f>HYPERLINK("https://www.mnlasercutting.com/","MN Laser Cutting")</f>
        <v/>
      </c>
      <c r="I101" s="45" t="n"/>
      <c r="J101" s="45" t="n"/>
      <c r="K101" s="45" t="n"/>
      <c r="L101" s="45" t="n"/>
      <c r="M101" s="45" t="n"/>
      <c r="N101" s="45" t="n"/>
      <c r="O101" s="45" t="n"/>
      <c r="P101" s="45" t="n"/>
      <c r="Q101" s="45" t="n"/>
      <c r="R101" s="45" t="n"/>
    </row>
    <row r="102">
      <c r="A102" s="45" t="inlineStr">
        <is>
          <t>Panels</t>
        </is>
      </c>
      <c r="B102" s="45" t="inlineStr">
        <is>
          <t>Side/Front/Top Polycarbonate Panels</t>
        </is>
      </c>
      <c r="C102" s="45" t="n"/>
      <c r="D102" s="45" t="inlineStr">
        <is>
          <t>4</t>
        </is>
      </c>
      <c r="E102" s="45" t="inlineStr">
        <is>
          <t>All</t>
        </is>
      </c>
      <c r="F102" s="46">
        <f>HYPERLINK("https://www.tapplastics.com/product/plastics/cut_to_size_plastic/polycarbonate_sheets/516","TAP Plastics (Polycarbonate)")</f>
        <v/>
      </c>
      <c r="G102" s="45" t="n"/>
      <c r="H102" s="45" t="n"/>
      <c r="I102" s="45" t="n"/>
      <c r="J102" s="45" t="n"/>
      <c r="K102" s="45" t="n"/>
      <c r="L102" s="45" t="n"/>
      <c r="M102" s="45" t="n"/>
      <c r="N102" s="45" t="n"/>
      <c r="O102" s="45" t="n"/>
      <c r="P102" s="45" t="n"/>
      <c r="Q102" s="45" t="n"/>
      <c r="R102" s="45" t="n"/>
    </row>
    <row r="103">
      <c r="A103" s="48" t="inlineStr">
        <is>
          <t>Buildplate</t>
        </is>
      </c>
      <c r="B103" s="48" t="inlineStr">
        <is>
          <t>Aluminum Build Plate (MIC6/ATP-5/Jig Plate/etc) (5/16in or 8mm depending on whats available in your country)</t>
        </is>
      </c>
      <c r="C103" s="48" t="n"/>
      <c r="D103" s="48" t="inlineStr">
        <is>
          <t>1</t>
        </is>
      </c>
      <c r="E103" s="48" t="inlineStr">
        <is>
          <t>250</t>
        </is>
      </c>
      <c r="F103" s="49">
        <f>HYPERLINK("https://clever3d.de/epages/7a4290fc-7c7f-46cc-9b99-eadef22228e2.sf/en_US?ObjectPath=%2FShops%2F7a4290fc-7c7f-46cc-9b99-eadef22228e2%2FProducts%2FAluGuss8mm","Clever3D.de")</f>
        <v/>
      </c>
      <c r="G103" s="48" t="n"/>
      <c r="H103" s="48" t="n"/>
      <c r="I103" s="48" t="n"/>
      <c r="J103" s="48" t="n"/>
      <c r="K103" s="48" t="n"/>
      <c r="L103" s="48" t="n"/>
      <c r="M103" s="48" t="n"/>
      <c r="N103" s="48" t="n"/>
      <c r="O103" s="48" t="n"/>
      <c r="P103" s="48" t="n"/>
      <c r="Q103" s="50" t="inlineStr">
        <is>
          <t>Thicker material is fine too, just keep in mind your heat up times will greatly increase</t>
        </is>
      </c>
      <c r="R103" s="48" t="n"/>
    </row>
    <row r="104">
      <c r="A104" s="48" t="inlineStr">
        <is>
          <t>Buildplate</t>
        </is>
      </c>
      <c r="B104" s="48" t="inlineStr">
        <is>
          <t>Aluminum Build Plate (MIC6/ATP-5/Jig Plate/etc) (5/16in or 8mm depending on whats available in your country)</t>
        </is>
      </c>
      <c r="C104" s="48" t="n"/>
      <c r="D104" s="48" t="inlineStr">
        <is>
          <t>1</t>
        </is>
      </c>
      <c r="E104" s="48" t="inlineStr">
        <is>
          <t>300</t>
        </is>
      </c>
      <c r="F104" s="49">
        <f>HYPERLINK("https://clever3d.de/epages/7a4290fc-7c7f-46cc-9b99-eadef22228e2.sf/en_US?ObjectPath=%2FShops%2F7a4290fc-7c7f-46cc-9b99-eadef22228e2%2FProducts%2FAluGuss8mm","Clever3D.de")</f>
        <v/>
      </c>
      <c r="G104" s="48" t="n"/>
      <c r="H104" s="48" t="n"/>
      <c r="I104" s="48" t="n"/>
      <c r="J104" s="48" t="n"/>
      <c r="K104" s="48" t="n"/>
      <c r="L104" s="48" t="n"/>
      <c r="M104" s="48" t="n"/>
      <c r="N104" s="48" t="n"/>
      <c r="O104" s="48" t="n"/>
      <c r="P104" s="48" t="n"/>
      <c r="Q104" s="50" t="inlineStr">
        <is>
          <t>Thicker material is fine too, just keep in mind your heat up times will greatly increase</t>
        </is>
      </c>
      <c r="R104" s="48" t="n"/>
    </row>
    <row r="105">
      <c r="A105" s="48" t="inlineStr">
        <is>
          <t>Buildplate</t>
        </is>
      </c>
      <c r="B105" s="48" t="inlineStr">
        <is>
          <t>Aluminum Build Plate (MIC6/ATP-5/Jig Plate/etc) (5/16in or 8mm depending on whats available in your country)</t>
        </is>
      </c>
      <c r="C105" s="48" t="n"/>
      <c r="D105" s="48" t="inlineStr">
        <is>
          <t>1</t>
        </is>
      </c>
      <c r="E105" s="48" t="inlineStr">
        <is>
          <t>350</t>
        </is>
      </c>
      <c r="F105" s="49">
        <f>HYPERLINK("https://clever3d.de/epages/7a4290fc-7c7f-46cc-9b99-eadef22228e2.sf/en_US?ObjectPath=%2FShops%2F7a4290fc-7c7f-46cc-9b99-eadef22228e2%2FProducts%2FAluGuss8mm","Clever3D.de")</f>
        <v/>
      </c>
      <c r="G105" s="48" t="n"/>
      <c r="H105" s="48" t="n"/>
      <c r="I105" s="48" t="n"/>
      <c r="J105" s="48" t="n"/>
      <c r="K105" s="48" t="n"/>
      <c r="L105" s="48" t="n"/>
      <c r="M105" s="48" t="n"/>
      <c r="N105" s="48" t="n"/>
      <c r="O105" s="48" t="n"/>
      <c r="P105" s="48" t="n"/>
      <c r="Q105" s="50" t="inlineStr">
        <is>
          <t>Thicker material is fine too, just keep in mind your heat up times will greatly increase</t>
        </is>
      </c>
      <c r="R105" s="48" t="n"/>
    </row>
    <row r="106">
      <c r="A106" s="48" t="inlineStr">
        <is>
          <t>Buildplate</t>
        </is>
      </c>
      <c r="B106" s="48" t="inlineStr">
        <is>
          <t>Silicone AC Heater 200x200mm</t>
        </is>
      </c>
      <c r="C106" s="48" t="n"/>
      <c r="D106" s="48" t="inlineStr">
        <is>
          <t>1</t>
        </is>
      </c>
      <c r="E106" s="48" t="inlineStr">
        <is>
          <t>250</t>
        </is>
      </c>
      <c r="F106" s="49">
        <f>HYPERLINK("https://keenovo.store/collections/standard-keenovo-silicone-heaters/products/keenovo-square-silicone-heater-3d-printer-build-plate-heatbed-heating-pad?variant=8324020731959","Keenovo (120v)")</f>
        <v/>
      </c>
      <c r="G106" s="48" t="n"/>
      <c r="H106" s="51">
        <f>HYPERLINK("https://keenovo.store/collections/standard-keenovo-silicone-heaters/products/keenovo-square-silicone-heater-3d-printer-build-plate-heatbed-heating-pad?variant=8324020764727","Keenovo (220v)")</f>
        <v/>
      </c>
      <c r="I106" s="48" t="n"/>
      <c r="J106" s="48" t="n"/>
      <c r="K106" s="48" t="n"/>
      <c r="L106" s="48" t="n"/>
      <c r="M106" s="48" t="n"/>
      <c r="N106" s="48" t="n"/>
      <c r="O106" s="48" t="n"/>
      <c r="P106" s="48" t="n"/>
      <c r="Q106" s="50" t="inlineStr">
        <is>
          <t>The heater size and power rating are not critical to have exactly at spec. The mat needs to be smaller than the bed so you have room for mounting hardware and an external thermal fuse. If the mat is underpowered, it will take longer to heat your bed. If it is overpowered, you can use firmware control to have it use less power. Using an overpowered heater at max power will heat your bed faster but make it more prone to warping. Choose an AC voltage suitable for your region.</t>
        </is>
      </c>
      <c r="R106" s="48" t="n"/>
    </row>
    <row r="107">
      <c r="A107" s="48" t="inlineStr">
        <is>
          <t>Buildplate</t>
        </is>
      </c>
      <c r="B107" s="48" t="inlineStr">
        <is>
          <t>Silicone AC Heater 240x240mm</t>
        </is>
      </c>
      <c r="C107" s="48" t="n"/>
      <c r="D107" s="48" t="inlineStr">
        <is>
          <t>1</t>
        </is>
      </c>
      <c r="E107" s="48" t="inlineStr">
        <is>
          <t>300</t>
        </is>
      </c>
      <c r="F107" s="49">
        <f>HYPERLINK("https://keenovo.store/collections/standard-keenovo-silicone-heaters/products/keenovo-square-silicone-heater-3d-printer-build-plate-heatbed-heating-pad?variant=8324020928567","Keenovo (120v)")</f>
        <v/>
      </c>
      <c r="G107" s="48" t="n"/>
      <c r="H107" s="51">
        <f>HYPERLINK("https://keenovo.store/collections/standard-keenovo-silicone-heaters/products/keenovo-square-silicone-heater-3d-printer-build-plate-heatbed-heating-pad?variant=8324020961335","Keenovo (220v)")</f>
        <v/>
      </c>
      <c r="I107" s="48" t="n"/>
      <c r="J107" s="48" t="n"/>
      <c r="K107" s="48" t="n"/>
      <c r="L107" s="48" t="n"/>
      <c r="M107" s="48" t="n"/>
      <c r="N107" s="48" t="n"/>
      <c r="O107" s="48" t="n"/>
      <c r="P107" s="48" t="n"/>
      <c r="Q107" s="48" t="n"/>
      <c r="R107" s="48" t="n"/>
    </row>
    <row r="108">
      <c r="A108" s="48" t="inlineStr">
        <is>
          <t>Buildplate</t>
        </is>
      </c>
      <c r="B108" s="48" t="inlineStr">
        <is>
          <t>Silicone AC Heater 300x300mm</t>
        </is>
      </c>
      <c r="C108" s="48" t="n"/>
      <c r="D108" s="48" t="inlineStr">
        <is>
          <t>1</t>
        </is>
      </c>
      <c r="E108" s="48" t="inlineStr">
        <is>
          <t>350</t>
        </is>
      </c>
      <c r="F108" s="49">
        <f>HYPERLINK("https://keenovo.store/collections/standard-keenovo-silicone-heaters/products/keenovo-square-silicone-heater-3d-printer-build-plate-heatbed-heating-pad?variant=8324021092407","Keenovo (120v)")</f>
        <v/>
      </c>
      <c r="G108" s="48" t="n"/>
      <c r="H108" s="51">
        <f>HYPERLINK("https://keenovo.store/collections/standard-keenovo-silicone-heaters/products/keenovo-square-silicone-heater-3d-printer-build-plate-heatbed-heating-pad?variant=8324021125175","Keenovo (220v)")</f>
        <v/>
      </c>
      <c r="I108" s="48" t="n"/>
      <c r="J108" s="48" t="n"/>
      <c r="K108" s="48" t="n"/>
      <c r="L108" s="48" t="n"/>
      <c r="M108" s="48" t="n"/>
      <c r="N108" s="48" t="n"/>
      <c r="O108" s="48" t="n"/>
      <c r="P108" s="48" t="n"/>
      <c r="Q108" s="48" t="n"/>
      <c r="R108" s="48" t="n"/>
    </row>
    <row r="109">
      <c r="A109" s="48" t="inlineStr">
        <is>
          <t>Buildplate</t>
        </is>
      </c>
      <c r="B109" s="48" t="inlineStr">
        <is>
          <t>PEI + 3M 468P (200MP)</t>
        </is>
      </c>
      <c r="C109" s="48" t="n"/>
      <c r="D109" s="48" t="inlineStr">
        <is>
          <t>1</t>
        </is>
      </c>
      <c r="E109" s="48" t="inlineStr">
        <is>
          <t>250</t>
        </is>
      </c>
      <c r="F109" s="49">
        <f>HYPERLINK("https://catalog.cshyde.com/item/pei-ultem/int-surface-10-mil-ultem-pei-w-3m-acrylic-adhesive/36-10a-3d-9-84-12-40","CSHyde (Trim)")</f>
        <v/>
      </c>
      <c r="G109" s="48" t="n"/>
      <c r="H109" s="51">
        <f>HYPERLINK("https://catalog.cshyde.com/item/pei-ultem/int-surface-10-mil-ultem-pei-w-3m-acrylic-adhesive/36-10a-3d-12x12","CSHyde")</f>
        <v/>
      </c>
      <c r="I109" s="48" t="n"/>
      <c r="J109" s="51">
        <f>HYPERLINK("https://catalog.cshyde.com/item/pei-sheet-3d-printing-build-surface/10-mil-ultem-pei-w-3m-acrylic-adhesive/36-10a-3d-4-7x4-7","CS Hyde")</f>
        <v/>
      </c>
      <c r="K109" s="48" t="n"/>
      <c r="L109" s="51">
        <f>HYPERLINK("https://catalog.cshyde.com/item/pei-ultem/int-surface-10-mil-ultem-pei-w-3m-acrylic-adhesive/36-10a-3d-14x14","CSHyde")</f>
        <v/>
      </c>
      <c r="M109" s="48" t="n"/>
      <c r="N109" s="48" t="n"/>
      <c r="O109" s="48" t="n"/>
      <c r="P109" s="48" t="n"/>
      <c r="Q109" s="48" t="n"/>
      <c r="R109" s="52" t="inlineStr">
        <is>
          <t>some links were dead</t>
        </is>
      </c>
    </row>
    <row r="110">
      <c r="A110" s="48" t="inlineStr">
        <is>
          <t>Buildplate</t>
        </is>
      </c>
      <c r="B110" s="48" t="inlineStr">
        <is>
          <t>PEI + 3M 468P (200MP)</t>
        </is>
      </c>
      <c r="C110" s="48" t="n"/>
      <c r="D110" s="48" t="inlineStr">
        <is>
          <t>1</t>
        </is>
      </c>
      <c r="E110" s="48" t="inlineStr">
        <is>
          <t>300</t>
        </is>
      </c>
      <c r="F110" s="49">
        <f>HYPERLINK("https://catalog.cshyde.com/item/pei-ultem/int-surface-10-mil-ultem-pei-w-3m-acrylic-adhesive/36-10a-3d-9-84-12-40","CSHyde (Trim)")</f>
        <v/>
      </c>
      <c r="G110" s="48" t="n"/>
      <c r="H110" s="51">
        <f>HYPERLINK("https://catalog.cshyde.com/item/pei-ultem/int-surface-10-mil-ultem-pei-w-3m-acrylic-adhesive/36-10a-3d-12x12","CSHyde")</f>
        <v/>
      </c>
      <c r="I110" s="48" t="n"/>
      <c r="J110" s="51">
        <f>HYPERLINK("https://catalog.cshyde.com/item/pei-sheet-3d-printing-build-surface/10-mil-ultem-pei-w-3m-acrylic-adhesive/36-10a-3d-4-7x4-7","CS Hyde")</f>
        <v/>
      </c>
      <c r="K110" s="48" t="n"/>
      <c r="L110" s="51">
        <f>HYPERLINK("https://catalog.cshyde.com/item/pei-ultem/int-surface-10-mil-ultem-pei-w-3m-acrylic-adhesive/36-10a-3d-14x14","CSHyde")</f>
        <v/>
      </c>
      <c r="M110" s="48" t="n"/>
      <c r="N110" s="48" t="n"/>
      <c r="O110" s="48" t="n"/>
      <c r="P110" s="48" t="n"/>
      <c r="Q110" s="48" t="n"/>
      <c r="R110" s="52" t="inlineStr">
        <is>
          <t>some links were dead</t>
        </is>
      </c>
    </row>
    <row r="111">
      <c r="A111" s="48" t="inlineStr">
        <is>
          <t>Buildplate</t>
        </is>
      </c>
      <c r="B111" s="48" t="inlineStr">
        <is>
          <t>PEI + 3M 468P (200MP)</t>
        </is>
      </c>
      <c r="C111" s="48" t="n"/>
      <c r="D111" s="48" t="inlineStr">
        <is>
          <t>1</t>
        </is>
      </c>
      <c r="E111" s="48" t="inlineStr">
        <is>
          <t>350</t>
        </is>
      </c>
      <c r="F111" s="49">
        <f>HYPERLINK("https://catalog.cshyde.com/item/pei-ultem/int-surface-10-mil-ultem-pei-w-3m-acrylic-adhesive/36-10a-3d-9-84-12-40","CSHyde (Trim)")</f>
        <v/>
      </c>
      <c r="G111" s="48" t="n"/>
      <c r="H111" s="51">
        <f>HYPERLINK("https://catalog.cshyde.com/item/pei-ultem/int-surface-10-mil-ultem-pei-w-3m-acrylic-adhesive/36-10a-3d-12x12","CSHyde")</f>
        <v/>
      </c>
      <c r="I111" s="48" t="n"/>
      <c r="J111" s="51">
        <f>HYPERLINK("https://catalog.cshyde.com/item/pei-sheet-3d-printing-build-surface/10-mil-ultem-pei-w-3m-acrylic-adhesive/36-10a-3d-4-7x4-7","CS Hyde")</f>
        <v/>
      </c>
      <c r="K111" s="48" t="n"/>
      <c r="L111" s="51">
        <f>HYPERLINK("https://catalog.cshyde.com/item/pei-ultem/int-surface-10-mil-ultem-pei-w-3m-acrylic-adhesive/36-10a-3d-14x14","CSHyde")</f>
        <v/>
      </c>
      <c r="M111" s="48" t="n"/>
      <c r="N111" s="48" t="n"/>
      <c r="O111" s="48" t="n"/>
      <c r="P111" s="48" t="n"/>
      <c r="Q111" s="48" t="n"/>
      <c r="R111" s="52" t="inlineStr">
        <is>
          <t>some links were dead</t>
        </is>
      </c>
    </row>
    <row r="112">
      <c r="B112" s="53" t="inlineStr">
        <is>
          <t>"As an Amazon Associate we earn from qualifying purchases.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2026-08-30T18:22:45Z</dcterms:created>
  <dcterms:modified xmlns:dcterms="http://purl.org/dc/terms/" xmlns:xsi="http://www.w3.org/2001/XMLSchema-instance" xsi:type="dcterms:W3CDTF">2026-08-30T18:22:45Z</dcterms:modified>
</cp:coreProperties>
</file>